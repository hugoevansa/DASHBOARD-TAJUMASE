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sa\Documents\Kulyeah\Magang Pupuk\Request Bu Heny\"/>
    </mc:Choice>
  </mc:AlternateContent>
  <xr:revisionPtr revIDLastSave="0" documentId="8_{D6F6F1AC-81EE-45A9-B33D-8F62E52027B5}" xr6:coauthVersionLast="47" xr6:coauthVersionMax="47" xr10:uidLastSave="{00000000-0000-0000-0000-000000000000}"/>
  <bookViews>
    <workbookView xWindow="-108" yWindow="-108" windowWidth="23256" windowHeight="12456" xr2:uid="{8E1881E5-036D-40D8-AF34-A30AF581029C}"/>
  </bookViews>
  <sheets>
    <sheet name="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4" i="1" l="1"/>
  <c r="D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tc={16A876C6-9452-4F9F-B53B-BEE6D2CBE6BC}</author>
    <author>tc={C27AE4FA-E5CB-4FE8-BAB8-F0B6274DB5FA}</author>
  </authors>
  <commentList>
    <comment ref="D3" authorId="0" shapeId="0" xr:uid="{16A876C6-9452-4F9F-B53B-BEE6D2CBE6BC}">
      <text>
        <t>[Threaded comment]
Your version of Excel allows you to read this threaded comment; however, any edits to it will get removed if the file is opened in a newer version of Excel. Learn more: https://go.microsoft.com/fwlink/?linkid=870924
Comment:
    nilai telah disesuaikan realisasi penggunaan UM</t>
      </text>
    </comment>
    <comment ref="D164" authorId="1" shapeId="0" xr:uid="{C27AE4FA-E5CB-4FE8-BAB8-F0B6274DB5FA}">
      <text>
        <t>[Threaded comment]
Your version of Excel allows you to read this threaded comment; however, any edits to it will get removed if the file is opened in a newer version of Excel. Learn more: https://go.microsoft.com/fwlink/?linkid=870924
Comment:
    Telah dikurangi kelebihan UM sebesar Rp1.683.000,-</t>
      </text>
    </comment>
  </commentList>
</comments>
</file>

<file path=xl/sharedStrings.xml><?xml version="1.0" encoding="utf-8"?>
<sst xmlns="http://schemas.openxmlformats.org/spreadsheetml/2006/main" count="3118" uniqueCount="791">
  <si>
    <t>1100002770</t>
  </si>
  <si>
    <t>Survey Lokasi dan Kunjungan UMKM di Maumere</t>
  </si>
  <si>
    <t>Januari</t>
  </si>
  <si>
    <t>Ekonomi</t>
  </si>
  <si>
    <t>Pekerjaan Layak dan Pertumbuhan Ekonomi</t>
  </si>
  <si>
    <t>Pembinaan/Pelatihan UMKM</t>
  </si>
  <si>
    <t>Capacity Building</t>
  </si>
  <si>
    <t>Program Pembinaan UMK</t>
  </si>
  <si>
    <t>Wilayah Pemasaran</t>
  </si>
  <si>
    <t>Internal</t>
  </si>
  <si>
    <t>Maumere</t>
  </si>
  <si>
    <t>NTT</t>
  </si>
  <si>
    <t>1100002860</t>
  </si>
  <si>
    <t>Bantuan Banjir Kabupaten Batang</t>
  </si>
  <si>
    <t>Sosial</t>
  </si>
  <si>
    <t>Tanpa Kemiskinan</t>
  </si>
  <si>
    <t>Bantuan Bencana</t>
  </si>
  <si>
    <t>Charity</t>
  </si>
  <si>
    <t>Program Stakeholder Relationship</t>
  </si>
  <si>
    <t>KBUMN</t>
  </si>
  <si>
    <t>Wamen ESG KBUMN</t>
  </si>
  <si>
    <t>Batang</t>
  </si>
  <si>
    <t>Jawa Tengah</t>
  </si>
  <si>
    <t>2600000057</t>
  </si>
  <si>
    <t>ALL Photo Assets JFW Non Edit</t>
  </si>
  <si>
    <t>Pameran</t>
  </si>
  <si>
    <t>Jakarta</t>
  </si>
  <si>
    <t>DKI Jakarta</t>
  </si>
  <si>
    <t>2600000176</t>
  </si>
  <si>
    <t>Buku Dokumentasi Benang Emas Sriwidjaja - Termin 1</t>
  </si>
  <si>
    <t>2600000208</t>
  </si>
  <si>
    <t>Bantuan Dana Paket Sembako ALPA PKP</t>
  </si>
  <si>
    <t>Tanpa Kelaparan</t>
  </si>
  <si>
    <t>Bantuan Sembako dan Pasar Murah</t>
  </si>
  <si>
    <t>Wilayah Jakarta</t>
  </si>
  <si>
    <t>Sekper</t>
  </si>
  <si>
    <t>Bekasi</t>
  </si>
  <si>
    <t>Jawa Barat</t>
  </si>
  <si>
    <t>No</t>
  </si>
  <si>
    <t>RefDocNo</t>
  </si>
  <si>
    <t>Text</t>
  </si>
  <si>
    <t>Payment Budget</t>
  </si>
  <si>
    <t>Posting Date</t>
  </si>
  <si>
    <t>Period</t>
  </si>
  <si>
    <t>Pilar</t>
  </si>
  <si>
    <t>Tujuan Pembangunan Berkelanjutan (TPB)</t>
  </si>
  <si>
    <t>Program Raker</t>
  </si>
  <si>
    <t>Jenis Program</t>
  </si>
  <si>
    <t>Kriteria Anggaran</t>
  </si>
  <si>
    <t>Stakeholder</t>
  </si>
  <si>
    <t>Rekomendasi</t>
  </si>
  <si>
    <t>Nama</t>
  </si>
  <si>
    <t>Kab/Kota</t>
  </si>
  <si>
    <t>Provinsi</t>
  </si>
  <si>
    <t>1100004941</t>
  </si>
  <si>
    <t>Kegiatan Relawan Bakti BUMN Batch VII di</t>
  </si>
  <si>
    <t>002</t>
  </si>
  <si>
    <t>Pendidikan Berkualitas</t>
  </si>
  <si>
    <t>Sosial Kemasyarakatan (Mudik Bersama, Kegiatan Keagamaan, Kegiatan Budaya, dll)</t>
  </si>
  <si>
    <t>Program Penugasan dan Kolaborasi BUMN</t>
  </si>
  <si>
    <t>Sabang</t>
  </si>
  <si>
    <t>Aceh</t>
  </si>
  <si>
    <t>1100005138</t>
  </si>
  <si>
    <t>Pelaksanaan Pameran Inacraft Bersama KBUMN Februari</t>
  </si>
  <si>
    <t>Jakarta Pusat</t>
  </si>
  <si>
    <t>1100006369</t>
  </si>
  <si>
    <t>Bantuan Dana Sosial dalam Peringatan Natal PI Grup 2024</t>
  </si>
  <si>
    <t>Jakarta Barat</t>
  </si>
  <si>
    <t>2600000298</t>
  </si>
  <si>
    <t>Bantuan Dana Pendidikan TNI Polri</t>
  </si>
  <si>
    <t>Beasiswa/ Bantuan Pendidikan</t>
  </si>
  <si>
    <t>TNI</t>
  </si>
  <si>
    <t>Jawa Timur</t>
  </si>
  <si>
    <t>2600000299</t>
  </si>
  <si>
    <t>Bantuan Dana Pendidikan TNI POLRI</t>
  </si>
  <si>
    <t>2600000300</t>
  </si>
  <si>
    <t>2600000358</t>
  </si>
  <si>
    <t>Bantuan Kegiatan Sosial Natal Bersama KBUMN 2024</t>
  </si>
  <si>
    <t>Wamen ESG</t>
  </si>
  <si>
    <t>Yogyakarta</t>
  </si>
  <si>
    <t>DI Yogyakarta</t>
  </si>
  <si>
    <t>2600000431</t>
  </si>
  <si>
    <t>2600000432</t>
  </si>
  <si>
    <t>Bantuan Program Sosial SLB Bogor</t>
  </si>
  <si>
    <t>Stafsus Presiden</t>
  </si>
  <si>
    <t>Bogor</t>
  </si>
  <si>
    <t>2600000673</t>
  </si>
  <si>
    <t>Booth UMKM Event Natal Bersama BUMN (5798)</t>
  </si>
  <si>
    <t>2600000694</t>
  </si>
  <si>
    <t>2600000695</t>
  </si>
  <si>
    <t>2600000696</t>
  </si>
  <si>
    <t>2600000697</t>
  </si>
  <si>
    <t>2600000698</t>
  </si>
  <si>
    <t>2800000188</t>
  </si>
  <si>
    <t>Bantuan Beras Bencana Erupsi Gunung Marapi Tanah Datar</t>
  </si>
  <si>
    <t>Pemda/Pemdes/Pemkot/Pemprov</t>
  </si>
  <si>
    <t>D2</t>
  </si>
  <si>
    <t>Tanah Datar &amp; Agam</t>
  </si>
  <si>
    <t>Sumatera Barat</t>
  </si>
  <si>
    <t>1100007770</t>
  </si>
  <si>
    <t>Santunan Yay Kegiatan Gema Ramadhan Rekreasi TMII Ultah PI</t>
  </si>
  <si>
    <t>003</t>
  </si>
  <si>
    <t>Yayasan di sekitar kantor PI</t>
  </si>
  <si>
    <t>1100008163</t>
  </si>
  <si>
    <t>Kegiatan Relawan Bakti BUMN - Sabang</t>
  </si>
  <si>
    <t>Sarana Prasarana Pendidikan</t>
  </si>
  <si>
    <t>RBB Sabang</t>
  </si>
  <si>
    <t>1100009924</t>
  </si>
  <si>
    <t>Operasi Pasar Pangan Murah Wil Makassar</t>
  </si>
  <si>
    <t>Kementan</t>
  </si>
  <si>
    <t>Dirut</t>
  </si>
  <si>
    <t>Bapanas dan Kementan</t>
  </si>
  <si>
    <t>Makassar</t>
  </si>
  <si>
    <t>Sulawesi Selatan</t>
  </si>
  <si>
    <t>2600001044</t>
  </si>
  <si>
    <t>Biaya Private Show UMKM-Jan (7553)</t>
  </si>
  <si>
    <t>Ibu2 IIP, Ibu Menteri, dan DPR</t>
  </si>
  <si>
    <t>2600001067</t>
  </si>
  <si>
    <t>Buku Dokumentasi Benang Emas Sriwidjaja - Termin 2</t>
  </si>
  <si>
    <t>2600001084</t>
  </si>
  <si>
    <t>Pembayaran Jasa Produksi Bazaar Akhir Tahun 2024</t>
  </si>
  <si>
    <t>2600001115</t>
  </si>
  <si>
    <t>Bantuan DPN Batch 3 - Desa Jayabakti-Pembangunan Jalan Lingkungan</t>
  </si>
  <si>
    <t>Lingkungan</t>
  </si>
  <si>
    <t>Kota &amp; Pemukiman</t>
  </si>
  <si>
    <t>Infrastruktur/Sarana Prasarana Umum (sarana ibadah, fasilitas umum, jalan, jembatan, rabat beton, penerangan, dll)</t>
  </si>
  <si>
    <t>Infrastructure</t>
  </si>
  <si>
    <t>Program DPN</t>
  </si>
  <si>
    <t>Komisi VI</t>
  </si>
  <si>
    <t>2600001117</t>
  </si>
  <si>
    <t>Bantuan DPN Batch 3 - Desa Tridaya Sakti-Pembangunan Jalan Lingkungan</t>
  </si>
  <si>
    <t>2600001118</t>
  </si>
  <si>
    <t>Bantuan DPN Batch 3 - Desa Babelan Kota-Pembangunan Jalan Lingkungan</t>
  </si>
  <si>
    <t>2600001119</t>
  </si>
  <si>
    <t>Bantuan DPN Batch 3 - Desa Karangmukti-Pembangunan Jalan Lingkungan</t>
  </si>
  <si>
    <t>2600001120</t>
  </si>
  <si>
    <t>Bantuan DPN Batch3 (Khusus) Desa Kalangsurya Pembangunan Lapangan Serbaguna</t>
  </si>
  <si>
    <t>Karawang</t>
  </si>
  <si>
    <t>2600001135</t>
  </si>
  <si>
    <t>Bantuan Pembangunan Talang Air Darurat</t>
  </si>
  <si>
    <t>Air Bersih &amp; Sanitasi Layak</t>
  </si>
  <si>
    <t>Penjualan Wil Jateng</t>
  </si>
  <si>
    <t>Panitia Pembangunan Talang Air Darurat Winong</t>
  </si>
  <si>
    <t>Sragen</t>
  </si>
  <si>
    <t>2600001159</t>
  </si>
  <si>
    <t>Bantuan DPN Batch 3 Khusus - Desa Wibamulya Panitia Pembangunan Lapangan Olah Raga</t>
  </si>
  <si>
    <t>2600001177</t>
  </si>
  <si>
    <t>Pembayaran Jasa Copywriting Buku Promosi Wastra</t>
  </si>
  <si>
    <t>2600001183</t>
  </si>
  <si>
    <t>Pembayaran Booth Kuliner Perayaan Natal(8038)</t>
  </si>
  <si>
    <t>Panitia Natal KBUMN</t>
  </si>
  <si>
    <t>2600001318</t>
  </si>
  <si>
    <t>Bantuan Dana PaketSembako Yay.Rumah Ngaji Nusantara</t>
  </si>
  <si>
    <t>Komisi IV</t>
  </si>
  <si>
    <t>Siti Hediati Hariyadi</t>
  </si>
  <si>
    <t>Bantul &amp; Yogyakarta</t>
  </si>
  <si>
    <t>2600001470</t>
  </si>
  <si>
    <t>Bantuan Dana Pendidikan TNI POLRI-Alfaroq Bimantara K.</t>
  </si>
  <si>
    <t>2600001471</t>
  </si>
  <si>
    <t>Bantuan Dana Pendidikan TNI POLRI-Jasmine Aulia R.</t>
  </si>
  <si>
    <t>2600001566</t>
  </si>
  <si>
    <t>Operasi Pasar Pangan Murah - Kantor Semarang</t>
  </si>
  <si>
    <t>Semarang</t>
  </si>
  <si>
    <t>2600001581</t>
  </si>
  <si>
    <t>Pembayaran Bantuan Dana Operasi Bibir Sumbing</t>
  </si>
  <si>
    <t>Kehidupan Sehat &amp; Sejahtera</t>
  </si>
  <si>
    <t>Fasilitas dan Peningkatan Kesehatan</t>
  </si>
  <si>
    <t>Yay Anugrah Sentosa</t>
  </si>
  <si>
    <t>Surabaya</t>
  </si>
  <si>
    <t>2600001673</t>
  </si>
  <si>
    <t>Paket Bantuan Banjir Pondok Gede Permai</t>
  </si>
  <si>
    <t>2600001674</t>
  </si>
  <si>
    <t>Paket Bantuan Banjir Bekasi</t>
  </si>
  <si>
    <t>2600001699</t>
  </si>
  <si>
    <t>Bantuan Kegiatan Peringatan Isra Miraj 1446 H</t>
  </si>
  <si>
    <t>D3</t>
  </si>
  <si>
    <t>Ikatan Remaja Mesjid Indonesia</t>
  </si>
  <si>
    <t>Jakarta Utara</t>
  </si>
  <si>
    <t>2600001771</t>
  </si>
  <si>
    <t>Penyelenggaraan keg. Pasar Murah - PI Pontianak</t>
  </si>
  <si>
    <t>Pontianak</t>
  </si>
  <si>
    <t>Kalimantan Barat</t>
  </si>
  <si>
    <t>2600000941</t>
  </si>
  <si>
    <t>Bantuan Sembako Bencana Banjir Cianjur (06600)</t>
  </si>
  <si>
    <t>Cianjur</t>
  </si>
  <si>
    <t>2600000942</t>
  </si>
  <si>
    <t>Bantuan Sembako Baksos Yayasan Al Ikhlas-Magetan (06303)</t>
  </si>
  <si>
    <t>TA Komisi IV</t>
  </si>
  <si>
    <t>Guntur Sasono</t>
  </si>
  <si>
    <t>Magetan</t>
  </si>
  <si>
    <t>2600001772</t>
  </si>
  <si>
    <t>Bantuan Dana Kegiatan Ramadhan Masjid Al Amin</t>
  </si>
  <si>
    <t>Ring I</t>
  </si>
  <si>
    <t>SPM Advokasi Publik</t>
  </si>
  <si>
    <t>Masjid Al Amin Kemanggisan</t>
  </si>
  <si>
    <t>2800000334</t>
  </si>
  <si>
    <t>Jasa Lanjutan Pesona Kriya 2024</t>
  </si>
  <si>
    <t>1100010405</t>
  </si>
  <si>
    <t>Kegiatan Operasi Pasar Kantor Surabaya</t>
  </si>
  <si>
    <t>004</t>
  </si>
  <si>
    <t>1100011454</t>
  </si>
  <si>
    <t>Bantuan Kegiatan Dari Inspirasi ke Aksi Srikandi BUMN</t>
  </si>
  <si>
    <t>Srikandi PI</t>
  </si>
  <si>
    <t>Srikandi BUMN</t>
  </si>
  <si>
    <t>1100011900</t>
  </si>
  <si>
    <t>Operasi Pasar Murah Wilayah Sumut</t>
  </si>
  <si>
    <t xml:space="preserve">Medan </t>
  </si>
  <si>
    <t>Sumatera Utara</t>
  </si>
  <si>
    <t>1100012409</t>
  </si>
  <si>
    <t>Pembinaan UMKM - Souvenir Perusahaan</t>
  </si>
  <si>
    <t>Cirebon &amp; Palembang</t>
  </si>
  <si>
    <t>Jawa Barat &amp; Sumatera Selatan</t>
  </si>
  <si>
    <t>1100012410</t>
  </si>
  <si>
    <t>Kegiatan Operasi Pasar Wilayah Sumatra</t>
  </si>
  <si>
    <t>Bengkulu, Jambi, Lampung, Sumatera Selatan</t>
  </si>
  <si>
    <t>1100012411</t>
  </si>
  <si>
    <t>Pelaksanaan Kegiatan Bazaar Halal Bihalal IPP</t>
  </si>
  <si>
    <t>IPP</t>
  </si>
  <si>
    <t>1100012586</t>
  </si>
  <si>
    <t>Pembinaan UMKM-Souvenir Tas Daur Ulang Fertibag</t>
  </si>
  <si>
    <t>2600001798</t>
  </si>
  <si>
    <t>Bantuan Dana Pendidikan TNI POLRI-Almira Putri Pramudita</t>
  </si>
  <si>
    <t>2600001799</t>
  </si>
  <si>
    <t>Bantuan Dana Pendidikan TNI POLRI-Rien Maverick S.</t>
  </si>
  <si>
    <t>2600001820</t>
  </si>
  <si>
    <t>Bantuan Dana Pendidikan TNI POLRI-Muhammad Syah Rizal Pambudi</t>
  </si>
  <si>
    <t>2600001821</t>
  </si>
  <si>
    <t>Bantuan Dana Pendidikan TNI POLRI-Mutiara Fatmarum Putri S</t>
  </si>
  <si>
    <t>2600001822</t>
  </si>
  <si>
    <t>Bantuan Dana Pendidikan TNI POLRI-Anisa Mufadhilah</t>
  </si>
  <si>
    <t>2600001823</t>
  </si>
  <si>
    <t>Bantuan Dana Pendidikan TNI POLRI-Devina Putri Yolanda</t>
  </si>
  <si>
    <t>2600001825</t>
  </si>
  <si>
    <t>Pembayaran Dana Pembangunan Masjid Al-Ikhlas-MAJELIS TAKLIM MASJID AL IKHLAS</t>
  </si>
  <si>
    <t>2600001826</t>
  </si>
  <si>
    <t>Pembayaran Bantuan Dana Pembangunan Taman Doa</t>
  </si>
  <si>
    <t>Nusa Tenggara Timur</t>
  </si>
  <si>
    <t>2600001841</t>
  </si>
  <si>
    <t>Bantuan Dana Pendidikan TNI POLRI-Zahra Andini P.</t>
  </si>
  <si>
    <t>2600001855</t>
  </si>
  <si>
    <t>Bantuan Pembangunan Sumur Dan Bak Penampungan Air - Pokmas Karangpatihan Bangkit</t>
  </si>
  <si>
    <t xml:space="preserve">Bantuan Air Bersih </t>
  </si>
  <si>
    <t>Pokmas Karangpatihan Bangkit</t>
  </si>
  <si>
    <t>Ponorogo</t>
  </si>
  <si>
    <t>2600001876</t>
  </si>
  <si>
    <t>Bantuan Pembangunan Masjid Al Ikhlas Banten-Mualaf Center Indonesia</t>
  </si>
  <si>
    <t>Dirprod</t>
  </si>
  <si>
    <t>Mualaf Center Indonesia</t>
  </si>
  <si>
    <t>Lebak Banten</t>
  </si>
  <si>
    <t>Banten</t>
  </si>
  <si>
    <t>2600001879</t>
  </si>
  <si>
    <t>Bantuan Dana Pendidikan TNI POLRI-Amanda Rizky Yorina P.</t>
  </si>
  <si>
    <t>2600001880</t>
  </si>
  <si>
    <t>Bantuan Dana Pendidikan TNI POLRI-Elsa Bhuwana Nauratama</t>
  </si>
  <si>
    <t>2600001881</t>
  </si>
  <si>
    <t>Bantuan Dana Pendidikan TNI POLRI-Alvin Gilang Ardya Putra</t>
  </si>
  <si>
    <t>2600001882</t>
  </si>
  <si>
    <t>Bantuan Buka Puasa dan Santunan Anak Yatim-Komando Rayon Militer 03/Grogol</t>
  </si>
  <si>
    <t>Umum</t>
  </si>
  <si>
    <t>Komando Rayon Militer 03/Grogol</t>
  </si>
  <si>
    <t>2600001883</t>
  </si>
  <si>
    <t>Dana Bantuan Berbagi Kasih Yay. Nur Saadah Dimyati</t>
  </si>
  <si>
    <t>Yay. Nur Saadah Dimyati</t>
  </si>
  <si>
    <t>2600001896</t>
  </si>
  <si>
    <t>Termin II - Bantuan Dana Kolaborasi Campus Leaders-YAYASAN BAKRIE CENTER</t>
  </si>
  <si>
    <t>YAYASAN BAKRIE CENTER</t>
  </si>
  <si>
    <t>Jakarta Selatan</t>
  </si>
  <si>
    <t>2600001898</t>
  </si>
  <si>
    <t>Pembayaran Bantuan Sembako Yay. Mentul Agawe</t>
  </si>
  <si>
    <t xml:space="preserve">Surakarta </t>
  </si>
  <si>
    <t>2600001930</t>
  </si>
  <si>
    <t>Bantuan Dana Kegiatan KAHMI KOMFAK UGM</t>
  </si>
  <si>
    <t>Institusi/Lembaga Pendidikan</t>
  </si>
  <si>
    <t>Mustoha Iskandar (Komisaris PI)</t>
  </si>
  <si>
    <t>Sleman</t>
  </si>
  <si>
    <t>2600002058</t>
  </si>
  <si>
    <t>Bantuan Dana Pendidikan TNI POLRI-Alvinka Warsito Putri</t>
  </si>
  <si>
    <t>2600002114</t>
  </si>
  <si>
    <t>Bantuan Dana Pembangunan PonPes Roudlatul Quran</t>
  </si>
  <si>
    <t>Metro</t>
  </si>
  <si>
    <t>Lampung</t>
  </si>
  <si>
    <t>2600002150</t>
  </si>
  <si>
    <t>Bantuan Dana THR Pengurus dan Petugas RT02 Kemanggisan</t>
  </si>
  <si>
    <t>RT Kemanggisan</t>
  </si>
  <si>
    <t>2600002151</t>
  </si>
  <si>
    <t>Bantuan Dana Sembako Masyarakat Grobogan-Yay Semeru Aji Swantara</t>
  </si>
  <si>
    <t>Komisi VII</t>
  </si>
  <si>
    <t>Yay Semeru Aji Swantara</t>
  </si>
  <si>
    <t>Grobogan</t>
  </si>
  <si>
    <t>2600002252</t>
  </si>
  <si>
    <t>Paket Bantuan Banjir Sukabumi</t>
  </si>
  <si>
    <t>Sukabumi</t>
  </si>
  <si>
    <t>2600002254</t>
  </si>
  <si>
    <t>Produksi Bakti Sosial PIKA-PI Group</t>
  </si>
  <si>
    <t>2800000520</t>
  </si>
  <si>
    <t>Bantuan Sembako DPN Ramadhan Yay Sanggar Kamulyan Sindureja</t>
  </si>
  <si>
    <t>ADISATRYA SURYO SULISTO</t>
  </si>
  <si>
    <t>Banyumas</t>
  </si>
  <si>
    <t>2800000524</t>
  </si>
  <si>
    <t>Jasa Pelaksanaan Mudik Aman BUMN 2025</t>
  </si>
  <si>
    <t>2800000628</t>
  </si>
  <si>
    <t>Bantuan Sembako Ramadhan 2025-Yay Pendidikan Islam Abuhuraerah</t>
  </si>
  <si>
    <t>Pasang Kayu</t>
  </si>
  <si>
    <t>Sulawesi Barat</t>
  </si>
  <si>
    <t>5100000327</t>
  </si>
  <si>
    <t>Jasa Lanjutan Pesona Kriya 2024 (08353)</t>
  </si>
  <si>
    <t>5100000387</t>
  </si>
  <si>
    <t>Jasa Pelaksanaan Mudik Aman 2025 (12553)</t>
  </si>
  <si>
    <t>1100012993</t>
  </si>
  <si>
    <t>Kegiatan Sobat AKSI Ramadhan 2025</t>
  </si>
  <si>
    <t>005</t>
  </si>
  <si>
    <t>SKB BUMN</t>
  </si>
  <si>
    <t>Demak</t>
  </si>
  <si>
    <t>1100014787</t>
  </si>
  <si>
    <t>Pelaksanaan  Operasi Pasar Murah Kantor</t>
  </si>
  <si>
    <t>Bandung</t>
  </si>
  <si>
    <t>1100016777</t>
  </si>
  <si>
    <t>Donasi untuk Rumah Singgah Cancer</t>
  </si>
  <si>
    <t>2600002262</t>
  </si>
  <si>
    <t>Bantuan Dana Ring 1 BPJST Pupuk Indonesia</t>
  </si>
  <si>
    <t>2600002263</t>
  </si>
  <si>
    <t>2600002264</t>
  </si>
  <si>
    <t>2600002752</t>
  </si>
  <si>
    <t>Bantuan Dana pembangunan Klinik Pratama PBC 1</t>
  </si>
  <si>
    <t>Tangerang</t>
  </si>
  <si>
    <t>2600002766</t>
  </si>
  <si>
    <t>Nota Debet Kegiatn Relawan Bakti BUMN Batch VII 25</t>
  </si>
  <si>
    <t>2600002830</t>
  </si>
  <si>
    <t>Bantuan Dana Pembangunan Saluran Irigasi P3A</t>
  </si>
  <si>
    <t>Ex Komisaris PIM</t>
  </si>
  <si>
    <t>2800000770</t>
  </si>
  <si>
    <t>Bapanas</t>
  </si>
  <si>
    <t>2800000771</t>
  </si>
  <si>
    <t>Bantuan Sembako Ramadhan 2025-Yay Pendidikan Islam Abuhuraerah (Delivery)</t>
  </si>
  <si>
    <t>2800000772</t>
  </si>
  <si>
    <t>Bantuan Sembako Ramadhan 2025</t>
  </si>
  <si>
    <t>NTT, Bali, NTB, Sulawesi Selatan, Sulawesi Tenggara, Sulawesi Barat, Sulawesi Tengah, Maluku Utara, Papua Barat Daya, Papua Selatan, &amp; Maluku</t>
  </si>
  <si>
    <t>2800000773</t>
  </si>
  <si>
    <t>Bantuan Sembako Ramadhan 2025 (delivery)</t>
  </si>
  <si>
    <t>2800000811</t>
  </si>
  <si>
    <t>Bantuan Sembako Ramadhan 2025 (goodiebag, packing, delivery)</t>
  </si>
  <si>
    <t>2800000812</t>
  </si>
  <si>
    <t>Bantuan Pangan dan Bazar Pangan Murah Kalteng (Beras)</t>
  </si>
  <si>
    <t>Dirsar</t>
  </si>
  <si>
    <t>Kementan dan Kejaksaan Kalteng</t>
  </si>
  <si>
    <t>Palangka Raya</t>
  </si>
  <si>
    <t>Kalimantan Tengaj</t>
  </si>
  <si>
    <t>2800000813</t>
  </si>
  <si>
    <t>Bantuan Pangan dan Bazar Pangan Murah Kalteng (Minyak Gorang &amp; Terigu)</t>
  </si>
  <si>
    <t>2800000814</t>
  </si>
  <si>
    <t>Bantuan Pangan dan Bazar Pangan Murah Kalteng (Gula)</t>
  </si>
  <si>
    <t>5100000432</t>
  </si>
  <si>
    <t>Bantuan Sembako DPN Ramadhan Yay Sanggar Kamulyan Sindureja (PPN)</t>
  </si>
  <si>
    <t>Adisatrya Suryo Sulisto</t>
  </si>
  <si>
    <t>1100016959</t>
  </si>
  <si>
    <t>Bantuan Dana Hewan Qurban Yayasan Amanah Berkah Besari-Sulteng</t>
  </si>
  <si>
    <t>006</t>
  </si>
  <si>
    <t>Nurdin Halid Komisi VI</t>
  </si>
  <si>
    <t>Gowa</t>
  </si>
  <si>
    <t>1100019043</t>
  </si>
  <si>
    <t>Bantuan Bencana Gempa Bumi Di Bengkulu</t>
  </si>
  <si>
    <t>Bengkulu</t>
  </si>
  <si>
    <t>2600002908</t>
  </si>
  <si>
    <t>Bantuan DPN Batch 1 Tahun 2025 Yay Berkah Insani (Tambahan)-Pompa Air</t>
  </si>
  <si>
    <t>Herman Khaeron</t>
  </si>
  <si>
    <t>Cirebon</t>
  </si>
  <si>
    <t>2600002909</t>
  </si>
  <si>
    <t>Bantuan DPN Batch 1 Tahun 2025 SMK Al-Ilyas (Tambahan)-Renovasi Sekolah</t>
  </si>
  <si>
    <t>Mulan Jameelah</t>
  </si>
  <si>
    <t>Garut</t>
  </si>
  <si>
    <t>2600002927</t>
  </si>
  <si>
    <t>Pembayaran Bantuan Dana Alat Hadroh</t>
  </si>
  <si>
    <t>Muslimat NU Desa Jeblog</t>
  </si>
  <si>
    <t>Klaten</t>
  </si>
  <si>
    <t>2600003479</t>
  </si>
  <si>
    <t>Bantuan Hewan Qurban Masjid Al-Arief Kemendag (PP PIN)</t>
  </si>
  <si>
    <t>Kemendag</t>
  </si>
  <si>
    <t>Masjid Kemendag</t>
  </si>
  <si>
    <t>2600003480</t>
  </si>
  <si>
    <t>Bantuan Hewan Qurban Mako Brigif Lampung (PP PIN)</t>
  </si>
  <si>
    <t>Komisi III</t>
  </si>
  <si>
    <t>Sudin</t>
  </si>
  <si>
    <t>Pesawaran</t>
  </si>
  <si>
    <t>2600003481</t>
  </si>
  <si>
    <t>Bantuan Hewan Qurban Kejaksaan Negeri JakBar (PP PIN)</t>
  </si>
  <si>
    <t>Kejaksaan</t>
  </si>
  <si>
    <t>Legal</t>
  </si>
  <si>
    <t>Kejaksaan Jakbar</t>
  </si>
  <si>
    <t>5100000533</t>
  </si>
  <si>
    <t>Pajak Biaya Pengiriman Bantuan Sembako Ramadhan Yayasan Abuhuraeran 16089</t>
  </si>
  <si>
    <t>5100000561</t>
  </si>
  <si>
    <t>Biaya Pengiriman DPN Sembako Beras 2025 (16096)-Yay Sanggar Kamulyan Sindureja-RNI</t>
  </si>
  <si>
    <t>5100000600</t>
  </si>
  <si>
    <t>Pajak Bantuan Minyak Goreng &amp; Tepung Bazar Kalteng 17113</t>
  </si>
  <si>
    <t>Disar</t>
  </si>
  <si>
    <t>Kementan dan Kejaksaan Kalsel</t>
  </si>
  <si>
    <t>1100022794</t>
  </si>
  <si>
    <t>Souvenir TasDaur Ulang Kantong Pupuk - Batch 10</t>
  </si>
  <si>
    <t>007</t>
  </si>
  <si>
    <t>UMKM</t>
  </si>
  <si>
    <t>1100023955</t>
  </si>
  <si>
    <t>Bantuan Santunan Panti Asuhan Bengkulu</t>
  </si>
  <si>
    <t>2600003490</t>
  </si>
  <si>
    <t>Bantuan Bencana Alam Erupsi Gunung Lewotobi</t>
  </si>
  <si>
    <t>Akhmad Yohan</t>
  </si>
  <si>
    <t>Flores Timur</t>
  </si>
  <si>
    <t>2600003491</t>
  </si>
  <si>
    <t>Bantuan Santunan Yatim 10 Muharram-Yay Arraudhoh Hasan Baabud</t>
  </si>
  <si>
    <t>Habiburokhman</t>
  </si>
  <si>
    <t>2600003579</t>
  </si>
  <si>
    <t>Tambahan booth UMKM Bazaar IIP BUMN</t>
  </si>
  <si>
    <t>Ikatan Istri Pimpinan BUMN</t>
  </si>
  <si>
    <t>2600003634</t>
  </si>
  <si>
    <t>Rehabilitas Gedung SMA BIP Malangbong</t>
  </si>
  <si>
    <t>Mulan Jameela</t>
  </si>
  <si>
    <t>2600003824</t>
  </si>
  <si>
    <t>Bantuan Hewan Qurban - Panti Sosial ODGJ</t>
  </si>
  <si>
    <t>Kegiatan internal perusahaan menyambut Idul Adha</t>
  </si>
  <si>
    <t>Jakarta Timur</t>
  </si>
  <si>
    <t>2600003970</t>
  </si>
  <si>
    <t>Bantuan Penataan Kawasan Hijau Lingkungan-Kemanggisan</t>
  </si>
  <si>
    <t>Umum &amp; Aset</t>
  </si>
  <si>
    <t>Kelurahan Kemanggisan</t>
  </si>
  <si>
    <t>2600004128</t>
  </si>
  <si>
    <t>Bantuan Qurban Pansos Asuhan Anak Putra Utama 1-3</t>
  </si>
  <si>
    <t>2600004218</t>
  </si>
  <si>
    <t>Bantuan Hewan Qurban Yay Ilmanian Centre</t>
  </si>
  <si>
    <t>2800001211</t>
  </si>
  <si>
    <t>Bazaar Berkah Bersama PI</t>
  </si>
  <si>
    <t>2800001212</t>
  </si>
  <si>
    <t>Pembuatan Custom Booth Bazar HBH 2025</t>
  </si>
  <si>
    <t>2800001216</t>
  </si>
  <si>
    <t>Jasa SERAMBI Pupuk Indonesia 2025</t>
  </si>
  <si>
    <t>1400001088</t>
  </si>
  <si>
    <t>Bantuan Beras 5 Kg (INV 007038 &amp; 007048) PIP Tahun 2022</t>
  </si>
  <si>
    <t>008</t>
  </si>
  <si>
    <t>PIP</t>
  </si>
  <si>
    <t>2600004306</t>
  </si>
  <si>
    <t>Souvenir UMKM Perlengkapan Kegiatan Hari Kartini</t>
  </si>
  <si>
    <t>Kegiatan Internal Perusahaan</t>
  </si>
  <si>
    <t>2600004345</t>
  </si>
  <si>
    <t>Biaya Keikutsertaan Pameran Kriyanusa 2025</t>
  </si>
  <si>
    <t>Dekranas</t>
  </si>
  <si>
    <t>2600004393</t>
  </si>
  <si>
    <t>Bantuan Dana Santunan Yatim dan Dhuafa Yay Kemanggisan</t>
  </si>
  <si>
    <t>Yay Kemanggisan</t>
  </si>
  <si>
    <t>2600004426</t>
  </si>
  <si>
    <t>Bantuan Penerangan Jalan Umum Desa Gebangharjo</t>
  </si>
  <si>
    <t>Direktur Utama</t>
  </si>
  <si>
    <t>Pemdes Gebangharjo, Wonogiri</t>
  </si>
  <si>
    <t>Wonogiri</t>
  </si>
  <si>
    <t>2600004445</t>
  </si>
  <si>
    <t>Bantuan Dana Renovasi Mushola Sabilil Hidayah</t>
  </si>
  <si>
    <t>Panggah Susanto</t>
  </si>
  <si>
    <t>Temanggung</t>
  </si>
  <si>
    <t>2600004446</t>
  </si>
  <si>
    <t>Bantuan Dana Pembangunan Masjid At Taqwa</t>
  </si>
  <si>
    <t>2600004447</t>
  </si>
  <si>
    <t>Bantuan Dana Pembangunan Masjid Nurul Mutaqqin</t>
  </si>
  <si>
    <t>2600004449</t>
  </si>
  <si>
    <t>Bantuan Dana Renovasi Mushola Al Mutaqqin</t>
  </si>
  <si>
    <t>2600004450</t>
  </si>
  <si>
    <t>Bantuan Renovasi TPQ Al Barokah</t>
  </si>
  <si>
    <t>2600004452</t>
  </si>
  <si>
    <t>Bantuan Dana Pembangunan Mushola Al Ikhlas</t>
  </si>
  <si>
    <t>2600004453</t>
  </si>
  <si>
    <t>Bantuan Dana Pembangunan Masjid Nurul Iman</t>
  </si>
  <si>
    <t>2600004589</t>
  </si>
  <si>
    <t>Bantuan Penerangan Jalan Umum Desa Semin</t>
  </si>
  <si>
    <t>2600004590</t>
  </si>
  <si>
    <t>Bantuan Dana Penerangan jalan Kelurahan Beji</t>
  </si>
  <si>
    <t>2600004591</t>
  </si>
  <si>
    <t>Bantuan Penerangan Jalan Desa Gambirmanis</t>
  </si>
  <si>
    <t>2800001270</t>
  </si>
  <si>
    <t>Bantuan Sapi Qurban untuk Yayasan Duha Senter Indonesia - Garut</t>
  </si>
  <si>
    <t>Khoerudin</t>
  </si>
  <si>
    <t>2800001272</t>
  </si>
  <si>
    <t>Bantuan Hewan Kurban Pupuk Indonesia</t>
  </si>
  <si>
    <t>2800001273</t>
  </si>
  <si>
    <t>Bantuan Hewan Kurban Yay. Nur Khatun Rumaisha Indramayu</t>
  </si>
  <si>
    <t>5100000790</t>
  </si>
  <si>
    <t>Pajak Jasa Pembuatan Custom Booth HBH 2025</t>
  </si>
  <si>
    <t>5100000791</t>
  </si>
  <si>
    <t>Pajak Jasa Serambi Pupuk Indonesia 2025</t>
  </si>
  <si>
    <t>5100000792</t>
  </si>
  <si>
    <t>Pajak Jasa Bazar Berkah Bersama PI 2025</t>
  </si>
  <si>
    <t>1100031505</t>
  </si>
  <si>
    <t>Souvenir UMKM Kegiatan Kriyanusa</t>
  </si>
  <si>
    <t>009</t>
  </si>
  <si>
    <t>2600004801</t>
  </si>
  <si>
    <t>Bantuan Rehabilitasi Ponpes Darut Tafsir</t>
  </si>
  <si>
    <t>Amin Wamen 3 (ESG) KBUMN</t>
  </si>
  <si>
    <t>2600004806</t>
  </si>
  <si>
    <t>Bantuan Rehab Mushola Al Hanapi Kab. Tangerang</t>
  </si>
  <si>
    <t>2600004832</t>
  </si>
  <si>
    <t>Bantuan Dana Penerangan Jalan Desa Gunturharjo</t>
  </si>
  <si>
    <t>2600004833</t>
  </si>
  <si>
    <t>Bantuan Dana Penerangan Jalan Desa Biting</t>
  </si>
  <si>
    <t>2600004834</t>
  </si>
  <si>
    <t>Bantuan Dana Pembangunan Masjid Baiturrahim</t>
  </si>
  <si>
    <t>2600004835</t>
  </si>
  <si>
    <t>Bantuan Dana Renovasi Masjid Ridho Nurcahyo</t>
  </si>
  <si>
    <t>2600004836</t>
  </si>
  <si>
    <t>Bantuan Dana Pembangunan Masjid Baiturrohim</t>
  </si>
  <si>
    <t>2600004837</t>
  </si>
  <si>
    <t>Bantuan Dana Pembangunan Masjid Al Huda</t>
  </si>
  <si>
    <t>2600005201</t>
  </si>
  <si>
    <t>Bantuan Dana KKN PPM UGM</t>
  </si>
  <si>
    <t>Titiek Soeharto</t>
  </si>
  <si>
    <t>Majalengka</t>
  </si>
  <si>
    <t>2800001465</t>
  </si>
  <si>
    <t>Bantuan Sembako Beras Baksos Upacara Tradisi Kehormatan Militer</t>
  </si>
  <si>
    <t>TNI AD</t>
  </si>
  <si>
    <t>1100033683</t>
  </si>
  <si>
    <t>Bantuan Pupuk KKN-PPM UGM 4 Sak</t>
  </si>
  <si>
    <t>010</t>
  </si>
  <si>
    <t>1100034451</t>
  </si>
  <si>
    <t>Pengembangan UMKM Ladies Program</t>
  </si>
  <si>
    <t>Kegiatan pameran internal di PG</t>
  </si>
  <si>
    <t>Gresik</t>
  </si>
  <si>
    <t>1100035062</t>
  </si>
  <si>
    <t>Pembinaan UMK Penyediaan Souvenir Kegiatan Perusahaan HRDI</t>
  </si>
  <si>
    <t>Souvenir kegiatan HRDI</t>
  </si>
  <si>
    <t>2600005488</t>
  </si>
  <si>
    <t>Bantuan Renovasi Pembangunan Mushola Ya Karrim</t>
  </si>
  <si>
    <t>2600005489</t>
  </si>
  <si>
    <t>Bantuan Dana TPQ At Taqwa</t>
  </si>
  <si>
    <t>2600005826</t>
  </si>
  <si>
    <t>Bantuan Bedah Rumah Marinir 2025</t>
  </si>
  <si>
    <t>TNI AL</t>
  </si>
  <si>
    <t>1100039767</t>
  </si>
  <si>
    <t>Penyediaan Souvenir - Rumah Kain</t>
  </si>
  <si>
    <t>011</t>
  </si>
  <si>
    <t>Souvenir Perusahaan</t>
  </si>
  <si>
    <t>1100039768</t>
  </si>
  <si>
    <t>Pelatihan Pembinaan UMKM JGBB di Jakarta</t>
  </si>
  <si>
    <t>Workshop JGBB Didiet Maulana</t>
  </si>
  <si>
    <t>2600006124</t>
  </si>
  <si>
    <t>Penyediaan Souvenir Pengunjung PIIA 2025</t>
  </si>
  <si>
    <t>Soovenir PIIA</t>
  </si>
  <si>
    <t>2600006142</t>
  </si>
  <si>
    <t>Bantuan Pembangunan Masjid Baitul Ilmi</t>
  </si>
  <si>
    <t>Srengseng</t>
  </si>
  <si>
    <t>2600006344</t>
  </si>
  <si>
    <t>Paket Bantuan Bencana Banjir NTT</t>
  </si>
  <si>
    <t>Wakil Komisi IV Ahmad Yohan</t>
  </si>
  <si>
    <t>Nagakeo</t>
  </si>
  <si>
    <t>2600006520</t>
  </si>
  <si>
    <t>Bantuan Pupuk di Kab. Kulonprogo</t>
  </si>
  <si>
    <t>Peningkatan Produksi Pertanian</t>
  </si>
  <si>
    <t>Pemasaran Region 2</t>
  </si>
  <si>
    <t>Kejaksaan Tinggi Kulon Progo</t>
  </si>
  <si>
    <t>Kulon Progo</t>
  </si>
  <si>
    <t>2600006618</t>
  </si>
  <si>
    <t>Bantuan Pupuk Poktan Kab. Sigi, Sulteng</t>
  </si>
  <si>
    <t>Pemasaran Region 4</t>
  </si>
  <si>
    <t>Kejaksaan Tinggi Sigi</t>
  </si>
  <si>
    <t>Sigi</t>
  </si>
  <si>
    <t>Sulawesi Tengah</t>
  </si>
  <si>
    <t>2800001773</t>
  </si>
  <si>
    <t>Pembuatan Custom Booth Bazaar Kriyanusa</t>
  </si>
  <si>
    <t>2800001805</t>
  </si>
  <si>
    <t>Barang Bantuan Handtractor Program Agroforestry</t>
  </si>
  <si>
    <t>Mabes TNI AD</t>
  </si>
  <si>
    <t>Purwakarta</t>
  </si>
  <si>
    <t>2800001897</t>
  </si>
  <si>
    <t>Gerakan Pangan Murah PIIA 2025</t>
  </si>
  <si>
    <t>Komut</t>
  </si>
  <si>
    <t>Bantuan Yayasan Si Pitung</t>
  </si>
  <si>
    <t>2025-12-31 00:00:00.000</t>
  </si>
  <si>
    <t>Si Pitung Rawabelong Bersatu</t>
  </si>
  <si>
    <t>Bantuan Kelompok Tani Rukun Makaryo Tuban</t>
  </si>
  <si>
    <t>2025-12-30 00:00:00.000</t>
  </si>
  <si>
    <t>Program Pertumbuhan Ekonomi (Balai Ekonomi Desa, Pemberdayaan masyarakat, dll)</t>
  </si>
  <si>
    <t>Kelompok Tani Rukun Makaryo</t>
  </si>
  <si>
    <t>Tuban</t>
  </si>
  <si>
    <t>Bantuan Masjid At-Taubah Halmahera Barat</t>
  </si>
  <si>
    <t>Masjid At Taubah Desa Tacim</t>
  </si>
  <si>
    <t>Halmahera</t>
  </si>
  <si>
    <t>Maluku Utara</t>
  </si>
  <si>
    <t>Bantuan MDTA Miftahussudur Serang</t>
  </si>
  <si>
    <t>Madrasah Diniyah Takmiliyah</t>
  </si>
  <si>
    <t>Serang</t>
  </si>
  <si>
    <t>Bantuan Sembako Kegiatan Bakti Sosial Yay. MRS</t>
  </si>
  <si>
    <t>Membangun Rakyat Sejahtera</t>
  </si>
  <si>
    <t>Medan</t>
  </si>
  <si>
    <t>Bantuan BPJST untuk 1.600 Masyarakat Ring I</t>
  </si>
  <si>
    <t>2025-12-24 00:00:00.000</t>
  </si>
  <si>
    <t>BPJS Ketenagakerjaan</t>
  </si>
  <si>
    <t>Kemanggisan</t>
  </si>
  <si>
    <t>Bantuan Pipanisasi Air Bersih Kab. Flores Timur</t>
  </si>
  <si>
    <t>Tunas Bakti Nusantara</t>
  </si>
  <si>
    <t>Bantuan TPU Desa Samakurok Aceh Utara</t>
  </si>
  <si>
    <t>2025-12-23 00:00:00.000</t>
  </si>
  <si>
    <t>Pengurus TPU Gampong Samakurok</t>
  </si>
  <si>
    <t>Aceh Utara</t>
  </si>
  <si>
    <t>Bantuan Pembangunan MCK Masjid Baitul Muttaqin</t>
  </si>
  <si>
    <t>Sanitasi</t>
  </si>
  <si>
    <t>Panitia Pembangunan Masjid</t>
  </si>
  <si>
    <t>Aceh Timur</t>
  </si>
  <si>
    <t>Keikutsertaan Bazaar KOPLING Pakansari Cibinong</t>
  </si>
  <si>
    <t>2026-01-02 00:00:00.000</t>
  </si>
  <si>
    <t>Kemenkop</t>
  </si>
  <si>
    <t>Sinergi Aksi Kreatif</t>
  </si>
  <si>
    <t>Cibinong</t>
  </si>
  <si>
    <t>Bantuan Dana untuk Pembangunan TPU Taman Abadi</t>
  </si>
  <si>
    <t>Pengurus TPU Taman Abadi</t>
  </si>
  <si>
    <t>Banda Aceh</t>
  </si>
  <si>
    <t>Bantuan Yayasan MQ Peduli Umat Depok</t>
  </si>
  <si>
    <t>Madinatul Qur'an Peduli Umat</t>
  </si>
  <si>
    <t>Depok</t>
  </si>
  <si>
    <t>Permohonan Bantuan Ponpes Daarul Hawariyyin</t>
  </si>
  <si>
    <t>Ponpes Daarul Hawariyyin Alfur</t>
  </si>
  <si>
    <t>Bantuan Dana Bulan Dana PMI 2025</t>
  </si>
  <si>
    <t>Palang Merah Indonesia</t>
  </si>
  <si>
    <t>Bantuan Ternak Kambing Poktan Asitra Desa Puncang</t>
  </si>
  <si>
    <t>2025-12-18 00:00:00.000</t>
  </si>
  <si>
    <t>Kelompok Tani Asitra Hortikult</t>
  </si>
  <si>
    <t>Kendal</t>
  </si>
  <si>
    <t>Bantuan Dana Pembangunan RKB TPQ Ali Muchtar</t>
  </si>
  <si>
    <t>TPQ Ali Muchtar</t>
  </si>
  <si>
    <t>Brebes</t>
  </si>
  <si>
    <t>Bantuan Biaya Lapangan Voli</t>
  </si>
  <si>
    <t>Kota dan Pemukiman yang berkelanjutan</t>
  </si>
  <si>
    <t>Warga Desa Tambirejo</t>
  </si>
  <si>
    <t>Bantuan Perbaikan Rumah</t>
  </si>
  <si>
    <t>Jaa Nurul Ihsan Tambirejo</t>
  </si>
  <si>
    <t>Bantuan Dana Peternakan Kambing Kelompok Bolone</t>
  </si>
  <si>
    <t>Kelompok Bolone Ternak Demak</t>
  </si>
  <si>
    <t>Bantuan Pembangunan Masjid Al Firdaus Semarang</t>
  </si>
  <si>
    <t>AlFirdaus Bale Nirvana</t>
  </si>
  <si>
    <t>Bantuan Dana Perlengkapan Masjid Al Anshar Aceh</t>
  </si>
  <si>
    <t>Badan Kemakmuran Masjid (BKM) Al Anshar Aceh</t>
  </si>
  <si>
    <t>Bantuan Pembangunan Paroki ST Petrus Kep Mentawai</t>
  </si>
  <si>
    <t>2025-12-11 00:00:00.000</t>
  </si>
  <si>
    <t>D1</t>
  </si>
  <si>
    <t>Paroki ST Petrus Simalibbeg</t>
  </si>
  <si>
    <t>Mentawai</t>
  </si>
  <si>
    <t>Bantuan Renovasi Masjid Jamie Al-Ikhlas Cibadak</t>
  </si>
  <si>
    <t>2025-12-09 00:00:00.000</t>
  </si>
  <si>
    <t>Masjid Al Ikhlas</t>
  </si>
  <si>
    <t>Bantuan Pupuk Rembuk Tani di Gresik</t>
  </si>
  <si>
    <t>Keikutsertaan Bazaar KOPLING Gambir Expo</t>
  </si>
  <si>
    <t>Pembayaran Paket Sembako Sulawesi Selatan</t>
  </si>
  <si>
    <t>2025-12-10 00:00:00.000</t>
  </si>
  <si>
    <t>Nurdin Halid</t>
  </si>
  <si>
    <t>Pembayaran Jasa Angkut Bantuan Pupuk Kab.Sanggau</t>
  </si>
  <si>
    <t>2025-12-03 00:00:00.000</t>
  </si>
  <si>
    <t>Polres/Polda</t>
  </si>
  <si>
    <t>Markom</t>
  </si>
  <si>
    <t>Kepolisian Sektor Mukok</t>
  </si>
  <si>
    <t>Sanggau</t>
  </si>
  <si>
    <t>Bantuan Pupuk Kab. Sanggau, Kalbar</t>
  </si>
  <si>
    <t>DP Pembayaran Narasumber Pelatihan UMKM</t>
  </si>
  <si>
    <t>2025-12-04 00:00:00.000</t>
  </si>
  <si>
    <t>ARDHITYA ARTHA BARUNA</t>
  </si>
  <si>
    <t>2025-12-12 00:00:00.000</t>
  </si>
  <si>
    <t>TPQ At Taqwa</t>
  </si>
  <si>
    <t>Bantuan Efektifitas Pengendalian Hama Tikus (TBS)</t>
  </si>
  <si>
    <t>Regional 2</t>
  </si>
  <si>
    <t>BP4 Wilayah I</t>
  </si>
  <si>
    <t>2600007568</t>
  </si>
  <si>
    <t>Bantuan Mushala Al-Falah</t>
  </si>
  <si>
    <t>2600007655</t>
  </si>
  <si>
    <t>Bantuan Pupuk Provinsi Papua Barat Daya</t>
  </si>
  <si>
    <t>Raja Ampat</t>
  </si>
  <si>
    <t>Papua Barat Daya</t>
  </si>
  <si>
    <t>2600007747</t>
  </si>
  <si>
    <t>Bantuan Paket Sembako Yysn Insan Emas Madani BWI</t>
  </si>
  <si>
    <t>Banyuwangi</t>
  </si>
  <si>
    <t>2600007689</t>
  </si>
  <si>
    <t>Bantuan Dana Santunan Kegiatan Natal LKSD Tuna Ber</t>
  </si>
  <si>
    <t>2600007631</t>
  </si>
  <si>
    <t>Bantuan Dukungan Psikososial BNPT</t>
  </si>
  <si>
    <t>BNPT</t>
  </si>
  <si>
    <t>Buru Selatan</t>
  </si>
  <si>
    <t>Maluku</t>
  </si>
  <si>
    <t>2600007498</t>
  </si>
  <si>
    <t>Biaya Pengiriman Sembako Sulawesi Selatan</t>
  </si>
  <si>
    <t>1400001938</t>
  </si>
  <si>
    <t>Bantuan Pupuk Kampung Alpukat Kab. Tabanan</t>
  </si>
  <si>
    <t>Tabanan</t>
  </si>
  <si>
    <t>Bali</t>
  </si>
  <si>
    <t>1400001940</t>
  </si>
  <si>
    <t>Penyediaan Bantuan Program Rembuk Tani di Kab. Lampung Selatan</t>
  </si>
  <si>
    <t>Kemenko Pangan</t>
  </si>
  <si>
    <t>Lampung Selatan</t>
  </si>
  <si>
    <t>1400001941</t>
  </si>
  <si>
    <t>Bantuan Pupuk Lomba Petani Kreatif dan Lestari Sumatera Utara</t>
  </si>
  <si>
    <t>DPD</t>
  </si>
  <si>
    <t>Regional 1</t>
  </si>
  <si>
    <t>Tapanuli Utara</t>
  </si>
  <si>
    <t>Sumut</t>
  </si>
  <si>
    <t>1400001942</t>
  </si>
  <si>
    <t xml:space="preserve">Kegiatan AKSI SOSIAL bulan Desember PT Pupuk Indonesia (Persero) </t>
  </si>
  <si>
    <t>1400001943</t>
  </si>
  <si>
    <t>Pelaksanaan Kegiatan Natal / Tali Asih PT Pupuk Indonesia (Persero)</t>
  </si>
  <si>
    <t>1400001944</t>
  </si>
  <si>
    <t>Bantuan Sembako untuk Banjir Sumatera Kolaborasi KEMENTAN</t>
  </si>
  <si>
    <t>Sumut, Sumbar, Aceh</t>
  </si>
  <si>
    <t>1400001945</t>
  </si>
  <si>
    <t>Bantuan Alsintan Kelompok Tani Oryza Sativa</t>
  </si>
  <si>
    <t>BP BUMN</t>
  </si>
  <si>
    <t>Agam</t>
  </si>
  <si>
    <t>1400001946</t>
  </si>
  <si>
    <t>Bantuan Sarana dan Prasarana MDTA Al-Irsyad Parabek</t>
  </si>
  <si>
    <t>1400001948</t>
  </si>
  <si>
    <t>Bantuan Renovasi Masjid Raya Banda Manggih</t>
  </si>
  <si>
    <t>Padang Pariaman</t>
  </si>
  <si>
    <t>1400001949</t>
  </si>
  <si>
    <t>Bantuan RKB Yayasan Waqaf Ummul Qur'an</t>
  </si>
  <si>
    <t>1400001950</t>
  </si>
  <si>
    <t>Bantuan Rehab Kelas Raudhatul Jannah</t>
  </si>
  <si>
    <t>Payakumbuh</t>
  </si>
  <si>
    <t>1400001951</t>
  </si>
  <si>
    <t>Jalan Usaha Tani Kelompok Tani Karya Sejati</t>
  </si>
  <si>
    <t>Pasaman Barat</t>
  </si>
  <si>
    <t>1400001952</t>
  </si>
  <si>
    <t>Bantuan MCK TK Alam Qu Ainurrahmah</t>
  </si>
  <si>
    <t>1400001953</t>
  </si>
  <si>
    <t>Bantuan Boat Kelompok Nelayan Tangkap Kubu Baru Saiyo</t>
  </si>
  <si>
    <t>1400001954</t>
  </si>
  <si>
    <t>Bantuan Renovasi Masjid Darul Iman</t>
  </si>
  <si>
    <t>Lima Puluh Kota</t>
  </si>
  <si>
    <t>1400001955</t>
  </si>
  <si>
    <t>Bantuan Alsinta Kelompok Tani Padang Ampalu Saiyo</t>
  </si>
  <si>
    <t>Pariaman</t>
  </si>
  <si>
    <t>1400001956</t>
  </si>
  <si>
    <t>Pembangunan DAM dan gorong gorong MDTA Al-Mukminun Biaro</t>
  </si>
  <si>
    <t>1400001957</t>
  </si>
  <si>
    <t>Bantuan Handtractor Rotary Kronos Kelompok Tani Sekar Mulyo</t>
  </si>
  <si>
    <t>Blitar</t>
  </si>
  <si>
    <t>1400001958</t>
  </si>
  <si>
    <t>Bantuan Handtractor Rotary Krono Kelompok Tani Tani Maju</t>
  </si>
  <si>
    <t>1400001959</t>
  </si>
  <si>
    <t>Bantuan dan Irigasi Kelompok Tani Air Batu Gadang Sarasah</t>
  </si>
  <si>
    <t>1400001960</t>
  </si>
  <si>
    <t>Bantuan Irigasi Kelompok Tani Mekar</t>
  </si>
  <si>
    <t>1400001961</t>
  </si>
  <si>
    <t>Pembangunan Ruang kelas Baru Yayasan Syaﬁ'il Ummah</t>
  </si>
  <si>
    <t>1400001962</t>
  </si>
  <si>
    <t>Bantuan Jalan Lingkungan Panitia pembangunan Jalan Lingkungan Alam Pesona Wanajaya</t>
  </si>
  <si>
    <t>1400001963</t>
  </si>
  <si>
    <t>Pembangunan Sarana Olah raga Panitia Pembanguan Sarana Olah Raga Persatuan Warga Logam Bangun Setia 2</t>
  </si>
  <si>
    <t>1400001964</t>
  </si>
  <si>
    <t xml:space="preserve">Bantuan Jalan Lingkungan Gg Barokah 2 Kelompok Panitia Jalan Lingkungan </t>
  </si>
  <si>
    <t>1400001965</t>
  </si>
  <si>
    <t>Ambulance Yayasan Nurul Jannah</t>
  </si>
  <si>
    <t>1400001966</t>
  </si>
  <si>
    <t>Bantuan Yayasan Pulih Aceh</t>
  </si>
  <si>
    <t>Program Pemberdayaan dan Kesetaraan Gender</t>
  </si>
  <si>
    <t>Aceh Pidie</t>
  </si>
  <si>
    <t>1400001968</t>
  </si>
  <si>
    <t>Penyediaan Perlengkapan dan Dekorasi Booth Kegiatan KOPLING-Gambir Expo</t>
  </si>
  <si>
    <t>1400001969</t>
  </si>
  <si>
    <t>Perlengkapan dan Dekorasi Booth Kegiatan KOPLING di Cibinong</t>
  </si>
  <si>
    <t>1400001970</t>
  </si>
  <si>
    <t>Bantuan Bencana Banjir di Sumbar dan Sumut</t>
  </si>
  <si>
    <t>Program Internal Perusahaan</t>
  </si>
  <si>
    <t>Sumbar Sumut</t>
  </si>
  <si>
    <t>1400001971</t>
  </si>
  <si>
    <t>Bantuan Bencana Banjir di Aceh Tahun 2025 Kolaborasi BUMN</t>
  </si>
  <si>
    <t>Bantuan Beras 5 Kg (INV 007038 &amp; 007048)</t>
  </si>
  <si>
    <t>1400001850</t>
  </si>
  <si>
    <t>Program Sadar Kelola Sampah (SALSA) Ktr Kemanggisa</t>
  </si>
  <si>
    <t>Penanganan Perubahan Iklim</t>
  </si>
  <si>
    <t>Pengelolaan Sampah</t>
  </si>
  <si>
    <t>1400001929</t>
  </si>
  <si>
    <t>Bantuan Pupuk di Provinsi Sumatra Utara</t>
  </si>
  <si>
    <t>1400001930</t>
  </si>
  <si>
    <t>Bantuan Pupuk di Provinsi Jawa Tengah dan Bengkulu</t>
  </si>
  <si>
    <t>Jawa Tengah dan Bengkulu</t>
  </si>
  <si>
    <t>1400001931</t>
  </si>
  <si>
    <t>Bantuan Pupuk di Kabupaten Kulonprogo</t>
  </si>
  <si>
    <t>Kulonprogo</t>
  </si>
  <si>
    <t>1400001935</t>
  </si>
  <si>
    <t>Bantuan Madrasah Aliyah Muhammadiyah Talu</t>
  </si>
  <si>
    <t>1400001936</t>
  </si>
  <si>
    <t>BANTUAN DARUL AHKAM CITRA INSANI</t>
  </si>
  <si>
    <t>1400001937</t>
  </si>
  <si>
    <t>Bantuan Yayasan Arroyyan Payakumbuh</t>
  </si>
  <si>
    <t>1400001972</t>
  </si>
  <si>
    <t>Bantuan Darurat Banjir dan Longsor Provinsi Aceh</t>
  </si>
  <si>
    <t>Lhokseumawe</t>
  </si>
  <si>
    <t>2800001980</t>
  </si>
  <si>
    <t>Sadar Kelola Sampah</t>
  </si>
  <si>
    <t>12</t>
  </si>
  <si>
    <t>2800002113</t>
  </si>
  <si>
    <t>Kegiatan AKSI SOSIAL PT Pupuk Indonesia</t>
  </si>
  <si>
    <t>2800002114</t>
  </si>
  <si>
    <t>Jasa Kegiatan Aksi Sosial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</si>
</sst>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rgb="FF000000"/>
      <name val="Times New Roman"/>
      <family val="1"/>
    </font>
    <font>
      <sz val="9"/>
      <color theme="1"/>
      <name val="Times New Roman"/>
      <family val="1"/>
    </font>
    <font>
      <sz val="9"/>
      <color indexed="81"/>
      <name val="Tahoma"/>
      <family val="2"/>
    </font>
    <font>
      <b/>
      <sz val="9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</patternFill>
    </fill>
    <fill>
      <patternFill patternType="solid">
        <fgColor rgb="FF80808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4" fillId="4" borderId="1" xfId="0" applyFont="1" applyFill="1" applyBorder="1" applyAlignment="1">
      <alignment horizontal="center" vertical="center" wrapText="1" readingOrder="1"/>
    </xf>
    <xf numFmtId="49" fontId="1" fillId="3" borderId="1" xfId="0" applyNumberFormat="1" applyFont="1" applyFill="1" applyBorder="1" applyAlignment="1">
      <alignment horizontal="left" vertical="center" wrapText="1" readingOrder="1"/>
    </xf>
    <xf numFmtId="3" fontId="1" fillId="3" borderId="1" xfId="0" applyNumberFormat="1" applyFont="1" applyFill="1" applyBorder="1" applyAlignment="1">
      <alignment horizontal="right" vertical="center" wrapText="1" readingOrder="1"/>
    </xf>
    <xf numFmtId="14" fontId="1" fillId="3" borderId="1" xfId="0" applyNumberFormat="1" applyFont="1" applyFill="1" applyBorder="1" applyAlignment="1">
      <alignment horizontal="left" vertical="center" wrapText="1" readingOrder="1"/>
    </xf>
    <xf numFmtId="49" fontId="1" fillId="0" borderId="1" xfId="0" applyNumberFormat="1" applyFont="1" applyBorder="1" applyAlignment="1">
      <alignment horizontal="left" vertical="center" wrapText="1" readingOrder="1"/>
    </xf>
    <xf numFmtId="3" fontId="1" fillId="0" borderId="1" xfId="0" applyNumberFormat="1" applyFont="1" applyBorder="1" applyAlignment="1">
      <alignment horizontal="right" vertical="center" wrapText="1" readingOrder="1"/>
    </xf>
    <xf numFmtId="14" fontId="1" fillId="0" borderId="1" xfId="0" applyNumberFormat="1" applyFont="1" applyBorder="1" applyAlignment="1">
      <alignment horizontal="left"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1" fillId="3" borderId="1" xfId="0" applyNumberFormat="1" applyFont="1" applyFill="1" applyBorder="1" applyAlignment="1">
      <alignment vertical="center" wrapText="1" readingOrder="1"/>
    </xf>
    <xf numFmtId="49" fontId="1" fillId="6" borderId="1" xfId="0" applyNumberFormat="1" applyFont="1" applyFill="1" applyBorder="1" applyAlignment="1">
      <alignment horizontal="left" vertical="center" wrapText="1" readingOrder="1"/>
    </xf>
    <xf numFmtId="3" fontId="1" fillId="6" borderId="1" xfId="0" applyNumberFormat="1" applyFont="1" applyFill="1" applyBorder="1" applyAlignment="1">
      <alignment horizontal="right" vertical="center" wrapText="1" readingOrder="1"/>
    </xf>
    <xf numFmtId="14" fontId="1" fillId="6" borderId="1" xfId="0" applyNumberFormat="1" applyFont="1" applyFill="1" applyBorder="1" applyAlignment="1">
      <alignment horizontal="left" vertical="center" wrapText="1" readingOrder="1"/>
    </xf>
    <xf numFmtId="49" fontId="1" fillId="0" borderId="1" xfId="0" applyNumberFormat="1" applyFont="1" applyBorder="1" applyAlignment="1">
      <alignment vertical="center" wrapText="1" readingOrder="1"/>
    </xf>
    <xf numFmtId="49" fontId="1" fillId="2" borderId="1" xfId="0" applyNumberFormat="1" applyFont="1" applyFill="1" applyBorder="1" applyAlignment="1">
      <alignment horizontal="left" vertical="center" wrapText="1" readingOrder="1"/>
    </xf>
    <xf numFmtId="3" fontId="1" fillId="2" borderId="1" xfId="0" applyNumberFormat="1" applyFont="1" applyFill="1" applyBorder="1" applyAlignment="1">
      <alignment horizontal="right" vertical="center" wrapText="1" readingOrder="1"/>
    </xf>
    <xf numFmtId="14" fontId="1" fillId="2" borderId="1" xfId="0" applyNumberFormat="1" applyFont="1" applyFill="1" applyBorder="1" applyAlignment="1">
      <alignment horizontal="left" vertical="center" wrapText="1" readingOrder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3" fontId="1" fillId="2" borderId="1" xfId="0" applyNumberFormat="1" applyFont="1" applyFill="1" applyBorder="1" applyAlignment="1">
      <alignment vertical="center" wrapText="1" readingOrder="1"/>
    </xf>
    <xf numFmtId="14" fontId="1" fillId="2" borderId="1" xfId="0" applyNumberFormat="1" applyFont="1" applyFill="1" applyBorder="1" applyAlignment="1">
      <alignment vertical="center" wrapText="1" readingOrder="1"/>
    </xf>
    <xf numFmtId="3" fontId="1" fillId="0" borderId="1" xfId="0" applyNumberFormat="1" applyFont="1" applyBorder="1" applyAlignment="1">
      <alignment vertical="center" wrapText="1" readingOrder="1"/>
    </xf>
    <xf numFmtId="14" fontId="1" fillId="0" borderId="1" xfId="0" applyNumberFormat="1" applyFont="1" applyBorder="1" applyAlignment="1">
      <alignment vertical="center" wrapText="1" readingOrder="1"/>
    </xf>
    <xf numFmtId="14" fontId="1" fillId="2" borderId="1" xfId="0" applyNumberFormat="1" applyFont="1" applyFill="1" applyBorder="1" applyAlignment="1">
      <alignment horizontal="right" vertical="center" wrapText="1" readingOrder="1"/>
    </xf>
    <xf numFmtId="14" fontId="1" fillId="0" borderId="1" xfId="0" applyNumberFormat="1" applyFont="1" applyBorder="1" applyAlignment="1">
      <alignment horizontal="right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14" fontId="1" fillId="3" borderId="1" xfId="0" applyNumberFormat="1" applyFont="1" applyFill="1" applyBorder="1" applyAlignment="1">
      <alignment vertical="center" wrapText="1" readingOrder="1"/>
    </xf>
    <xf numFmtId="3" fontId="1" fillId="3" borderId="1" xfId="0" applyNumberFormat="1" applyFont="1" applyFill="1" applyBorder="1" applyAlignment="1">
      <alignment vertical="center" wrapText="1" readingOrder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ny Mardiyanti" id="{BB2AC5DF-7116-4F0F-A165-7AD9EB6392E0}" userId="454fb9bb97179507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" dT="2025-03-01T04:23:04.49" personId="{BB2AC5DF-7116-4F0F-A165-7AD9EB6392E0}" id="{16A876C6-9452-4F9F-B53B-BEE6D2CBE6BC}">
    <text>nilai telah disesuaikan realisasi penggunaan UM</text>
  </threadedComment>
  <threadedComment ref="D164" dT="2025-11-06T08:33:42.41" personId="{BB2AC5DF-7116-4F0F-A165-7AD9EB6392E0}" id="{C27AE4FA-E5CB-4FE8-BAB8-F0B6274DB5FA}">
    <text>Telah dikurangi kelebihan UM sebesar Rp1.683.000,-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D1325-C639-4ACC-A51E-A9B0765866DC}">
  <dimension ref="A1:P257"/>
  <sheetViews>
    <sheetView tabSelected="1" workbookViewId="0">
      <selection activeCell="P3" sqref="P3"/>
    </sheetView>
  </sheetViews>
  <sheetFormatPr defaultRowHeight="14.4" x14ac:dyDescent="0.3"/>
  <cols>
    <col min="1" max="1" width="2.88671875" bestFit="1" customWidth="1"/>
    <col min="2" max="2" width="8.5546875" bestFit="1" customWidth="1"/>
    <col min="4" max="4" width="9.5546875" bestFit="1" customWidth="1"/>
    <col min="5" max="5" width="8.88671875" bestFit="1" customWidth="1"/>
    <col min="6" max="6" width="5.5546875" bestFit="1" customWidth="1"/>
    <col min="7" max="7" width="8.33203125" bestFit="1" customWidth="1"/>
    <col min="10" max="10" width="8.44140625" bestFit="1" customWidth="1"/>
  </cols>
  <sheetData>
    <row r="1" spans="1:16" ht="57" x14ac:dyDescent="0.3">
      <c r="A1" s="4" t="s">
        <v>38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35" t="s">
        <v>44</v>
      </c>
      <c r="H1" s="35" t="s">
        <v>45</v>
      </c>
      <c r="I1" s="35" t="s">
        <v>46</v>
      </c>
      <c r="J1" s="35" t="s">
        <v>47</v>
      </c>
      <c r="K1" s="35" t="s">
        <v>48</v>
      </c>
      <c r="L1" s="35" t="s">
        <v>49</v>
      </c>
      <c r="M1" s="35" t="s">
        <v>50</v>
      </c>
      <c r="N1" s="35" t="s">
        <v>51</v>
      </c>
      <c r="O1" s="35" t="s">
        <v>52</v>
      </c>
      <c r="P1" s="35" t="s">
        <v>53</v>
      </c>
    </row>
    <row r="2" spans="1:16" ht="60" x14ac:dyDescent="0.3">
      <c r="A2" s="33">
        <v>1</v>
      </c>
      <c r="B2" s="5" t="s">
        <v>0</v>
      </c>
      <c r="C2" s="5" t="s">
        <v>1</v>
      </c>
      <c r="D2" s="6">
        <v>40000000</v>
      </c>
      <c r="E2" s="7">
        <v>45687</v>
      </c>
      <c r="F2" s="5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/>
      <c r="O2" s="1" t="s">
        <v>10</v>
      </c>
      <c r="P2" s="1" t="s">
        <v>236</v>
      </c>
    </row>
    <row r="3" spans="1:16" ht="48" x14ac:dyDescent="0.3">
      <c r="A3" s="34">
        <v>2</v>
      </c>
      <c r="B3" s="8" t="s">
        <v>12</v>
      </c>
      <c r="C3" s="8" t="s">
        <v>13</v>
      </c>
      <c r="D3" s="9">
        <f>50000000-83300</f>
        <v>49916700</v>
      </c>
      <c r="E3" s="10">
        <v>45688</v>
      </c>
      <c r="F3" s="5" t="s">
        <v>2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  <c r="N3" s="2"/>
      <c r="O3" s="2" t="s">
        <v>21</v>
      </c>
      <c r="P3" s="2" t="s">
        <v>22</v>
      </c>
    </row>
    <row r="4" spans="1:16" ht="48" x14ac:dyDescent="0.3">
      <c r="A4" s="33">
        <v>3</v>
      </c>
      <c r="B4" s="5" t="s">
        <v>23</v>
      </c>
      <c r="C4" s="5" t="s">
        <v>24</v>
      </c>
      <c r="D4" s="6">
        <v>5550000</v>
      </c>
      <c r="E4" s="7">
        <v>45673</v>
      </c>
      <c r="F4" s="5" t="s">
        <v>2</v>
      </c>
      <c r="G4" s="1" t="s">
        <v>3</v>
      </c>
      <c r="H4" s="1" t="s">
        <v>4</v>
      </c>
      <c r="I4" s="1" t="s">
        <v>25</v>
      </c>
      <c r="J4" s="1" t="s">
        <v>6</v>
      </c>
      <c r="K4" s="1" t="s">
        <v>7</v>
      </c>
      <c r="L4" s="1" t="s">
        <v>9</v>
      </c>
      <c r="M4" s="1" t="s">
        <v>9</v>
      </c>
      <c r="N4" s="1"/>
      <c r="O4" s="1" t="s">
        <v>26</v>
      </c>
      <c r="P4" s="1" t="s">
        <v>27</v>
      </c>
    </row>
    <row r="5" spans="1:16" ht="72" x14ac:dyDescent="0.3">
      <c r="A5" s="34">
        <v>4</v>
      </c>
      <c r="B5" s="8" t="s">
        <v>28</v>
      </c>
      <c r="C5" s="8" t="s">
        <v>29</v>
      </c>
      <c r="D5" s="9">
        <v>9532500</v>
      </c>
      <c r="E5" s="10">
        <v>45679</v>
      </c>
      <c r="F5" s="5" t="s">
        <v>2</v>
      </c>
      <c r="G5" s="2" t="s">
        <v>3</v>
      </c>
      <c r="H5" s="2" t="s">
        <v>4</v>
      </c>
      <c r="I5" s="2" t="s">
        <v>25</v>
      </c>
      <c r="J5" s="2" t="s">
        <v>6</v>
      </c>
      <c r="K5" s="2" t="s">
        <v>7</v>
      </c>
      <c r="L5" s="2" t="s">
        <v>9</v>
      </c>
      <c r="M5" s="2" t="s">
        <v>9</v>
      </c>
      <c r="N5" s="2"/>
      <c r="O5" s="2" t="s">
        <v>26</v>
      </c>
      <c r="P5" s="2" t="s">
        <v>27</v>
      </c>
    </row>
    <row r="6" spans="1:16" ht="60" x14ac:dyDescent="0.3">
      <c r="A6" s="33">
        <v>5</v>
      </c>
      <c r="B6" s="5" t="s">
        <v>30</v>
      </c>
      <c r="C6" s="5" t="s">
        <v>31</v>
      </c>
      <c r="D6" s="6">
        <v>10000000</v>
      </c>
      <c r="E6" s="7">
        <v>45680</v>
      </c>
      <c r="F6" s="5" t="s">
        <v>2</v>
      </c>
      <c r="G6" s="1" t="s">
        <v>14</v>
      </c>
      <c r="H6" s="1" t="s">
        <v>32</v>
      </c>
      <c r="I6" s="1" t="s">
        <v>33</v>
      </c>
      <c r="J6" s="1" t="s">
        <v>17</v>
      </c>
      <c r="K6" s="1" t="s">
        <v>18</v>
      </c>
      <c r="L6" s="1" t="s">
        <v>34</v>
      </c>
      <c r="M6" s="1" t="s">
        <v>35</v>
      </c>
      <c r="N6" s="1"/>
      <c r="O6" s="1" t="s">
        <v>36</v>
      </c>
      <c r="P6" s="1" t="s">
        <v>37</v>
      </c>
    </row>
    <row r="7" spans="1:16" ht="108" x14ac:dyDescent="0.3">
      <c r="A7" s="33">
        <v>1</v>
      </c>
      <c r="B7" s="11" t="s">
        <v>54</v>
      </c>
      <c r="C7" s="5" t="s">
        <v>55</v>
      </c>
      <c r="D7" s="6">
        <v>49700000</v>
      </c>
      <c r="E7" s="7">
        <v>45705</v>
      </c>
      <c r="F7" s="5" t="s">
        <v>56</v>
      </c>
      <c r="G7" s="1" t="s">
        <v>14</v>
      </c>
      <c r="H7" s="1" t="s">
        <v>57</v>
      </c>
      <c r="I7" s="1" t="s">
        <v>58</v>
      </c>
      <c r="J7" s="1" t="s">
        <v>6</v>
      </c>
      <c r="K7" s="1" t="s">
        <v>59</v>
      </c>
      <c r="L7" s="1" t="s">
        <v>19</v>
      </c>
      <c r="M7" s="1" t="s">
        <v>9</v>
      </c>
      <c r="N7" s="1"/>
      <c r="O7" s="21" t="s">
        <v>60</v>
      </c>
      <c r="P7" s="21" t="s">
        <v>61</v>
      </c>
    </row>
    <row r="8" spans="1:16" ht="72" x14ac:dyDescent="0.3">
      <c r="A8" s="34">
        <v>2</v>
      </c>
      <c r="B8" s="12" t="s">
        <v>62</v>
      </c>
      <c r="C8" s="8" t="s">
        <v>63</v>
      </c>
      <c r="D8" s="9">
        <v>9918664</v>
      </c>
      <c r="E8" s="10">
        <v>45706</v>
      </c>
      <c r="F8" s="5" t="s">
        <v>56</v>
      </c>
      <c r="G8" s="2" t="s">
        <v>3</v>
      </c>
      <c r="H8" s="2" t="s">
        <v>4</v>
      </c>
      <c r="I8" s="2" t="s">
        <v>25</v>
      </c>
      <c r="J8" s="2" t="s">
        <v>6</v>
      </c>
      <c r="K8" s="2" t="s">
        <v>7</v>
      </c>
      <c r="L8" s="2" t="s">
        <v>19</v>
      </c>
      <c r="M8" s="2" t="s">
        <v>35</v>
      </c>
      <c r="N8" s="2"/>
      <c r="O8" s="20" t="s">
        <v>64</v>
      </c>
      <c r="P8" s="20" t="s">
        <v>27</v>
      </c>
    </row>
    <row r="9" spans="1:16" ht="108" x14ac:dyDescent="0.3">
      <c r="A9" s="33">
        <v>3</v>
      </c>
      <c r="B9" s="11" t="s">
        <v>65</v>
      </c>
      <c r="C9" s="5" t="s">
        <v>66</v>
      </c>
      <c r="D9" s="6">
        <v>20000000</v>
      </c>
      <c r="E9" s="7">
        <v>45715</v>
      </c>
      <c r="F9" s="5" t="s">
        <v>56</v>
      </c>
      <c r="G9" s="1" t="s">
        <v>14</v>
      </c>
      <c r="H9" s="1" t="s">
        <v>15</v>
      </c>
      <c r="I9" s="1" t="s">
        <v>58</v>
      </c>
      <c r="J9" s="1" t="s">
        <v>17</v>
      </c>
      <c r="K9" s="1" t="s">
        <v>18</v>
      </c>
      <c r="L9" s="1" t="s">
        <v>9</v>
      </c>
      <c r="M9" s="1" t="s">
        <v>9</v>
      </c>
      <c r="N9" s="1"/>
      <c r="O9" s="21" t="s">
        <v>67</v>
      </c>
      <c r="P9" s="21" t="s">
        <v>27</v>
      </c>
    </row>
    <row r="10" spans="1:16" ht="60" x14ac:dyDescent="0.3">
      <c r="A10" s="34">
        <v>4</v>
      </c>
      <c r="B10" s="12" t="s">
        <v>68</v>
      </c>
      <c r="C10" s="13" t="s">
        <v>69</v>
      </c>
      <c r="D10" s="14">
        <v>5000000</v>
      </c>
      <c r="E10" s="15">
        <v>45691</v>
      </c>
      <c r="F10" s="13" t="s">
        <v>56</v>
      </c>
      <c r="G10" s="2" t="s">
        <v>14</v>
      </c>
      <c r="H10" s="2" t="s">
        <v>57</v>
      </c>
      <c r="I10" s="2" t="s">
        <v>70</v>
      </c>
      <c r="J10" s="2" t="s">
        <v>17</v>
      </c>
      <c r="K10" s="2" t="s">
        <v>59</v>
      </c>
      <c r="L10" s="2" t="s">
        <v>71</v>
      </c>
      <c r="M10" s="2" t="s">
        <v>19</v>
      </c>
      <c r="N10" s="2"/>
      <c r="O10" s="20"/>
      <c r="P10" s="20" t="s">
        <v>72</v>
      </c>
    </row>
    <row r="11" spans="1:16" ht="60" x14ac:dyDescent="0.3">
      <c r="A11" s="33">
        <v>5</v>
      </c>
      <c r="B11" s="11" t="s">
        <v>73</v>
      </c>
      <c r="C11" s="13" t="s">
        <v>74</v>
      </c>
      <c r="D11" s="14">
        <v>5000000</v>
      </c>
      <c r="E11" s="15">
        <v>45691</v>
      </c>
      <c r="F11" s="13" t="s">
        <v>56</v>
      </c>
      <c r="G11" s="1" t="s">
        <v>14</v>
      </c>
      <c r="H11" s="1" t="s">
        <v>57</v>
      </c>
      <c r="I11" s="1" t="s">
        <v>70</v>
      </c>
      <c r="J11" s="1" t="s">
        <v>17</v>
      </c>
      <c r="K11" s="1" t="s">
        <v>59</v>
      </c>
      <c r="L11" s="1" t="s">
        <v>71</v>
      </c>
      <c r="M11" s="1" t="s">
        <v>19</v>
      </c>
      <c r="N11" s="1"/>
      <c r="O11" s="21"/>
      <c r="P11" s="21" t="s">
        <v>72</v>
      </c>
    </row>
    <row r="12" spans="1:16" ht="60" x14ac:dyDescent="0.3">
      <c r="A12" s="34">
        <v>6</v>
      </c>
      <c r="B12" s="12" t="s">
        <v>75</v>
      </c>
      <c r="C12" s="13" t="s">
        <v>69</v>
      </c>
      <c r="D12" s="14">
        <v>5000000</v>
      </c>
      <c r="E12" s="15">
        <v>45691</v>
      </c>
      <c r="F12" s="13" t="s">
        <v>56</v>
      </c>
      <c r="G12" s="2" t="s">
        <v>14</v>
      </c>
      <c r="H12" s="2" t="s">
        <v>57</v>
      </c>
      <c r="I12" s="2" t="s">
        <v>70</v>
      </c>
      <c r="J12" s="2" t="s">
        <v>17</v>
      </c>
      <c r="K12" s="2" t="s">
        <v>59</v>
      </c>
      <c r="L12" s="2" t="s">
        <v>71</v>
      </c>
      <c r="M12" s="2" t="s">
        <v>19</v>
      </c>
      <c r="N12" s="2"/>
      <c r="O12" s="20"/>
      <c r="P12" s="20" t="s">
        <v>72</v>
      </c>
    </row>
    <row r="13" spans="1:16" ht="108" x14ac:dyDescent="0.3">
      <c r="A13" s="33">
        <v>7</v>
      </c>
      <c r="B13" s="11" t="s">
        <v>76</v>
      </c>
      <c r="C13" s="13" t="s">
        <v>77</v>
      </c>
      <c r="D13" s="14">
        <v>93793972</v>
      </c>
      <c r="E13" s="15">
        <v>45692</v>
      </c>
      <c r="F13" s="13" t="s">
        <v>56</v>
      </c>
      <c r="G13" s="1" t="s">
        <v>14</v>
      </c>
      <c r="H13" s="1" t="s">
        <v>15</v>
      </c>
      <c r="I13" s="1" t="s">
        <v>58</v>
      </c>
      <c r="J13" s="1" t="s">
        <v>17</v>
      </c>
      <c r="K13" s="1" t="s">
        <v>59</v>
      </c>
      <c r="L13" s="1" t="s">
        <v>19</v>
      </c>
      <c r="M13" s="1" t="s">
        <v>78</v>
      </c>
      <c r="N13" s="1"/>
      <c r="O13" s="21" t="s">
        <v>79</v>
      </c>
      <c r="P13" s="21" t="s">
        <v>80</v>
      </c>
    </row>
    <row r="14" spans="1:16" ht="60" x14ac:dyDescent="0.3">
      <c r="A14" s="34">
        <v>8</v>
      </c>
      <c r="B14" s="12" t="s">
        <v>81</v>
      </c>
      <c r="C14" s="13" t="s">
        <v>74</v>
      </c>
      <c r="D14" s="14">
        <v>5000000</v>
      </c>
      <c r="E14" s="15">
        <v>45699</v>
      </c>
      <c r="F14" s="13" t="s">
        <v>56</v>
      </c>
      <c r="G14" s="2" t="s">
        <v>14</v>
      </c>
      <c r="H14" s="2" t="s">
        <v>57</v>
      </c>
      <c r="I14" s="2" t="s">
        <v>70</v>
      </c>
      <c r="J14" s="2" t="s">
        <v>17</v>
      </c>
      <c r="K14" s="2" t="s">
        <v>59</v>
      </c>
      <c r="L14" s="2" t="s">
        <v>71</v>
      </c>
      <c r="M14" s="2" t="s">
        <v>19</v>
      </c>
      <c r="N14" s="2"/>
      <c r="O14" s="20"/>
      <c r="P14" s="20" t="s">
        <v>72</v>
      </c>
    </row>
    <row r="15" spans="1:16" ht="108" x14ac:dyDescent="0.3">
      <c r="A15" s="33">
        <v>9</v>
      </c>
      <c r="B15" s="11" t="s">
        <v>82</v>
      </c>
      <c r="C15" s="13" t="s">
        <v>83</v>
      </c>
      <c r="D15" s="14">
        <v>20000000</v>
      </c>
      <c r="E15" s="15">
        <v>45699</v>
      </c>
      <c r="F15" s="13" t="s">
        <v>56</v>
      </c>
      <c r="G15" s="1" t="s">
        <v>14</v>
      </c>
      <c r="H15" s="1" t="s">
        <v>32</v>
      </c>
      <c r="I15" s="1" t="s">
        <v>58</v>
      </c>
      <c r="J15" s="1" t="s">
        <v>17</v>
      </c>
      <c r="K15" s="1" t="s">
        <v>18</v>
      </c>
      <c r="L15" s="1" t="s">
        <v>84</v>
      </c>
      <c r="M15" s="1" t="s">
        <v>9</v>
      </c>
      <c r="N15" s="1"/>
      <c r="O15" s="21" t="s">
        <v>85</v>
      </c>
      <c r="P15" s="21" t="s">
        <v>37</v>
      </c>
    </row>
    <row r="16" spans="1:16" ht="84" x14ac:dyDescent="0.3">
      <c r="A16" s="34">
        <v>10</v>
      </c>
      <c r="B16" s="12" t="s">
        <v>86</v>
      </c>
      <c r="C16" s="13" t="s">
        <v>87</v>
      </c>
      <c r="D16" s="14">
        <v>6993000</v>
      </c>
      <c r="E16" s="15">
        <v>45708</v>
      </c>
      <c r="F16" s="13" t="s">
        <v>56</v>
      </c>
      <c r="G16" s="2" t="s">
        <v>3</v>
      </c>
      <c r="H16" s="2" t="s">
        <v>4</v>
      </c>
      <c r="I16" s="2" t="s">
        <v>25</v>
      </c>
      <c r="J16" s="2" t="s">
        <v>6</v>
      </c>
      <c r="K16" s="2" t="s">
        <v>59</v>
      </c>
      <c r="L16" s="2" t="s">
        <v>19</v>
      </c>
      <c r="M16" s="2" t="s">
        <v>9</v>
      </c>
      <c r="N16" s="2"/>
      <c r="O16" s="20" t="s">
        <v>79</v>
      </c>
      <c r="P16" s="20" t="s">
        <v>80</v>
      </c>
    </row>
    <row r="17" spans="1:16" ht="60" x14ac:dyDescent="0.3">
      <c r="A17" s="33">
        <v>11</v>
      </c>
      <c r="B17" s="11" t="s">
        <v>88</v>
      </c>
      <c r="C17" s="13" t="s">
        <v>74</v>
      </c>
      <c r="D17" s="14">
        <v>5000000</v>
      </c>
      <c r="E17" s="15">
        <v>45708</v>
      </c>
      <c r="F17" s="13" t="s">
        <v>56</v>
      </c>
      <c r="G17" s="1" t="s">
        <v>14</v>
      </c>
      <c r="H17" s="1" t="s">
        <v>57</v>
      </c>
      <c r="I17" s="1" t="s">
        <v>70</v>
      </c>
      <c r="J17" s="1" t="s">
        <v>17</v>
      </c>
      <c r="K17" s="1" t="s">
        <v>59</v>
      </c>
      <c r="L17" s="1" t="s">
        <v>71</v>
      </c>
      <c r="M17" s="1" t="s">
        <v>19</v>
      </c>
      <c r="N17" s="1"/>
      <c r="O17" s="21"/>
      <c r="P17" s="21" t="s">
        <v>72</v>
      </c>
    </row>
    <row r="18" spans="1:16" ht="60" x14ac:dyDescent="0.3">
      <c r="A18" s="34">
        <v>12</v>
      </c>
      <c r="B18" s="12" t="s">
        <v>89</v>
      </c>
      <c r="C18" s="13" t="s">
        <v>74</v>
      </c>
      <c r="D18" s="14">
        <v>5000000</v>
      </c>
      <c r="E18" s="15">
        <v>45708</v>
      </c>
      <c r="F18" s="13" t="s">
        <v>56</v>
      </c>
      <c r="G18" s="2" t="s">
        <v>14</v>
      </c>
      <c r="H18" s="2" t="s">
        <v>57</v>
      </c>
      <c r="I18" s="2" t="s">
        <v>70</v>
      </c>
      <c r="J18" s="2" t="s">
        <v>17</v>
      </c>
      <c r="K18" s="2" t="s">
        <v>59</v>
      </c>
      <c r="L18" s="2" t="s">
        <v>71</v>
      </c>
      <c r="M18" s="2" t="s">
        <v>19</v>
      </c>
      <c r="N18" s="2"/>
      <c r="O18" s="20"/>
      <c r="P18" s="20" t="s">
        <v>72</v>
      </c>
    </row>
    <row r="19" spans="1:16" ht="60" x14ac:dyDescent="0.3">
      <c r="A19" s="33">
        <v>13</v>
      </c>
      <c r="B19" s="11" t="s">
        <v>90</v>
      </c>
      <c r="C19" s="13" t="s">
        <v>74</v>
      </c>
      <c r="D19" s="14">
        <v>5000000</v>
      </c>
      <c r="E19" s="15">
        <v>45708</v>
      </c>
      <c r="F19" s="13" t="s">
        <v>56</v>
      </c>
      <c r="G19" s="1" t="s">
        <v>14</v>
      </c>
      <c r="H19" s="1" t="s">
        <v>57</v>
      </c>
      <c r="I19" s="1" t="s">
        <v>70</v>
      </c>
      <c r="J19" s="1" t="s">
        <v>17</v>
      </c>
      <c r="K19" s="1" t="s">
        <v>59</v>
      </c>
      <c r="L19" s="1" t="s">
        <v>71</v>
      </c>
      <c r="M19" s="1" t="s">
        <v>19</v>
      </c>
      <c r="N19" s="1"/>
      <c r="O19" s="21"/>
      <c r="P19" s="21" t="s">
        <v>72</v>
      </c>
    </row>
    <row r="20" spans="1:16" ht="60" x14ac:dyDescent="0.3">
      <c r="A20" s="34">
        <v>14</v>
      </c>
      <c r="B20" s="12" t="s">
        <v>91</v>
      </c>
      <c r="C20" s="13" t="s">
        <v>74</v>
      </c>
      <c r="D20" s="14">
        <v>5000000</v>
      </c>
      <c r="E20" s="15">
        <v>45708</v>
      </c>
      <c r="F20" s="13" t="s">
        <v>56</v>
      </c>
      <c r="G20" s="2" t="s">
        <v>14</v>
      </c>
      <c r="H20" s="2" t="s">
        <v>57</v>
      </c>
      <c r="I20" s="2" t="s">
        <v>70</v>
      </c>
      <c r="J20" s="2" t="s">
        <v>17</v>
      </c>
      <c r="K20" s="2" t="s">
        <v>59</v>
      </c>
      <c r="L20" s="2" t="s">
        <v>71</v>
      </c>
      <c r="M20" s="2" t="s">
        <v>19</v>
      </c>
      <c r="N20" s="2"/>
      <c r="O20" s="20"/>
      <c r="P20" s="20" t="s">
        <v>72</v>
      </c>
    </row>
    <row r="21" spans="1:16" ht="60" x14ac:dyDescent="0.3">
      <c r="A21" s="33">
        <v>15</v>
      </c>
      <c r="B21" s="11" t="s">
        <v>92</v>
      </c>
      <c r="C21" s="13" t="s">
        <v>74</v>
      </c>
      <c r="D21" s="14">
        <v>5000000</v>
      </c>
      <c r="E21" s="15">
        <v>45708</v>
      </c>
      <c r="F21" s="13" t="s">
        <v>56</v>
      </c>
      <c r="G21" s="1" t="s">
        <v>14</v>
      </c>
      <c r="H21" s="1" t="s">
        <v>57</v>
      </c>
      <c r="I21" s="1" t="s">
        <v>70</v>
      </c>
      <c r="J21" s="1" t="s">
        <v>17</v>
      </c>
      <c r="K21" s="1" t="s">
        <v>59</v>
      </c>
      <c r="L21" s="1" t="s">
        <v>71</v>
      </c>
      <c r="M21" s="1" t="s">
        <v>19</v>
      </c>
      <c r="N21" s="1"/>
      <c r="O21" s="21"/>
      <c r="P21" s="21" t="s">
        <v>72</v>
      </c>
    </row>
    <row r="22" spans="1:16" ht="96" x14ac:dyDescent="0.3">
      <c r="A22" s="34">
        <v>16</v>
      </c>
      <c r="B22" s="16" t="s">
        <v>93</v>
      </c>
      <c r="C22" s="13" t="s">
        <v>94</v>
      </c>
      <c r="D22" s="14">
        <v>154000000</v>
      </c>
      <c r="E22" s="15">
        <v>45693</v>
      </c>
      <c r="F22" s="13" t="s">
        <v>56</v>
      </c>
      <c r="G22" s="2" t="s">
        <v>14</v>
      </c>
      <c r="H22" s="2" t="s">
        <v>32</v>
      </c>
      <c r="I22" s="2" t="s">
        <v>33</v>
      </c>
      <c r="J22" s="2" t="s">
        <v>17</v>
      </c>
      <c r="K22" s="2" t="s">
        <v>18</v>
      </c>
      <c r="L22" s="2" t="s">
        <v>95</v>
      </c>
      <c r="M22" s="2" t="s">
        <v>96</v>
      </c>
      <c r="N22" s="2"/>
      <c r="O22" s="20" t="s">
        <v>97</v>
      </c>
      <c r="P22" s="20" t="s">
        <v>98</v>
      </c>
    </row>
    <row r="23" spans="1:16" ht="108" x14ac:dyDescent="0.3">
      <c r="A23" s="33">
        <v>1</v>
      </c>
      <c r="B23" s="11" t="s">
        <v>99</v>
      </c>
      <c r="C23" s="5" t="s">
        <v>100</v>
      </c>
      <c r="D23" s="6">
        <v>75000000</v>
      </c>
      <c r="E23" s="7">
        <v>45728</v>
      </c>
      <c r="F23" s="5" t="s">
        <v>101</v>
      </c>
      <c r="G23" s="1" t="s">
        <v>14</v>
      </c>
      <c r="H23" s="1" t="s">
        <v>15</v>
      </c>
      <c r="I23" s="1" t="s">
        <v>58</v>
      </c>
      <c r="J23" s="1" t="s">
        <v>17</v>
      </c>
      <c r="K23" s="1" t="s">
        <v>18</v>
      </c>
      <c r="L23" s="1" t="s">
        <v>34</v>
      </c>
      <c r="M23" s="1" t="s">
        <v>9</v>
      </c>
      <c r="N23" s="1" t="s">
        <v>102</v>
      </c>
      <c r="O23" s="21" t="s">
        <v>67</v>
      </c>
      <c r="P23" s="21" t="s">
        <v>27</v>
      </c>
    </row>
    <row r="24" spans="1:16" ht="60" x14ac:dyDescent="0.3">
      <c r="A24" s="34">
        <v>2</v>
      </c>
      <c r="B24" s="12" t="s">
        <v>103</v>
      </c>
      <c r="C24" s="8" t="s">
        <v>104</v>
      </c>
      <c r="D24" s="9">
        <v>5964870</v>
      </c>
      <c r="E24" s="10">
        <v>45730</v>
      </c>
      <c r="F24" s="5" t="s">
        <v>101</v>
      </c>
      <c r="G24" s="2" t="s">
        <v>14</v>
      </c>
      <c r="H24" s="2" t="s">
        <v>57</v>
      </c>
      <c r="I24" s="2" t="s">
        <v>105</v>
      </c>
      <c r="J24" s="2" t="s">
        <v>6</v>
      </c>
      <c r="K24" s="2" t="s">
        <v>59</v>
      </c>
      <c r="L24" s="2" t="s">
        <v>19</v>
      </c>
      <c r="M24" s="2" t="s">
        <v>19</v>
      </c>
      <c r="N24" s="2" t="s">
        <v>106</v>
      </c>
      <c r="O24" s="20" t="s">
        <v>60</v>
      </c>
      <c r="P24" s="20" t="s">
        <v>61</v>
      </c>
    </row>
    <row r="25" spans="1:16" ht="60" x14ac:dyDescent="0.3">
      <c r="A25" s="33">
        <v>3</v>
      </c>
      <c r="B25" s="11" t="s">
        <v>107</v>
      </c>
      <c r="C25" s="5" t="s">
        <v>108</v>
      </c>
      <c r="D25" s="6">
        <v>18319280</v>
      </c>
      <c r="E25" s="7">
        <v>45742</v>
      </c>
      <c r="F25" s="5" t="s">
        <v>101</v>
      </c>
      <c r="G25" s="1" t="s">
        <v>14</v>
      </c>
      <c r="H25" s="1" t="s">
        <v>32</v>
      </c>
      <c r="I25" s="1" t="s">
        <v>33</v>
      </c>
      <c r="J25" s="1" t="s">
        <v>17</v>
      </c>
      <c r="K25" s="1" t="s">
        <v>59</v>
      </c>
      <c r="L25" s="1" t="s">
        <v>109</v>
      </c>
      <c r="M25" s="1" t="s">
        <v>110</v>
      </c>
      <c r="N25" s="1" t="s">
        <v>111</v>
      </c>
      <c r="O25" s="21" t="s">
        <v>112</v>
      </c>
      <c r="P25" s="21" t="s">
        <v>113</v>
      </c>
    </row>
    <row r="26" spans="1:16" ht="60" x14ac:dyDescent="0.3">
      <c r="A26" s="34">
        <v>4</v>
      </c>
      <c r="B26" s="16" t="s">
        <v>114</v>
      </c>
      <c r="C26" s="13" t="s">
        <v>115</v>
      </c>
      <c r="D26" s="14">
        <v>21306450</v>
      </c>
      <c r="E26" s="15">
        <v>45722</v>
      </c>
      <c r="F26" s="13" t="s">
        <v>101</v>
      </c>
      <c r="G26" s="2" t="s">
        <v>3</v>
      </c>
      <c r="H26" s="2" t="s">
        <v>4</v>
      </c>
      <c r="I26" s="2" t="s">
        <v>25</v>
      </c>
      <c r="J26" s="2" t="s">
        <v>6</v>
      </c>
      <c r="K26" s="2" t="s">
        <v>7</v>
      </c>
      <c r="L26" s="2" t="s">
        <v>19</v>
      </c>
      <c r="M26" s="2" t="s">
        <v>9</v>
      </c>
      <c r="N26" s="2" t="s">
        <v>116</v>
      </c>
      <c r="O26" s="20" t="s">
        <v>67</v>
      </c>
      <c r="P26" s="20" t="s">
        <v>27</v>
      </c>
    </row>
    <row r="27" spans="1:16" ht="72" x14ac:dyDescent="0.3">
      <c r="A27" s="33">
        <v>5</v>
      </c>
      <c r="B27" s="12" t="s">
        <v>117</v>
      </c>
      <c r="C27" s="13" t="s">
        <v>118</v>
      </c>
      <c r="D27" s="14">
        <v>9532500</v>
      </c>
      <c r="E27" s="15">
        <v>45722</v>
      </c>
      <c r="F27" s="13" t="s">
        <v>101</v>
      </c>
      <c r="G27" s="1" t="s">
        <v>3</v>
      </c>
      <c r="H27" s="1" t="s">
        <v>4</v>
      </c>
      <c r="I27" s="1" t="s">
        <v>5</v>
      </c>
      <c r="J27" s="1" t="s">
        <v>6</v>
      </c>
      <c r="K27" s="1" t="s">
        <v>7</v>
      </c>
      <c r="L27" s="1" t="s">
        <v>9</v>
      </c>
      <c r="M27" s="1" t="s">
        <v>9</v>
      </c>
      <c r="N27" s="1"/>
      <c r="O27" s="21" t="s">
        <v>67</v>
      </c>
      <c r="P27" s="21" t="s">
        <v>27</v>
      </c>
    </row>
    <row r="28" spans="1:16" ht="72" x14ac:dyDescent="0.3">
      <c r="A28" s="34">
        <v>6</v>
      </c>
      <c r="B28" s="16" t="s">
        <v>119</v>
      </c>
      <c r="C28" s="13" t="s">
        <v>120</v>
      </c>
      <c r="D28" s="14">
        <v>49511550</v>
      </c>
      <c r="E28" s="15">
        <v>45722</v>
      </c>
      <c r="F28" s="13" t="s">
        <v>101</v>
      </c>
      <c r="G28" s="2" t="s">
        <v>3</v>
      </c>
      <c r="H28" s="2" t="s">
        <v>4</v>
      </c>
      <c r="I28" s="2" t="s">
        <v>25</v>
      </c>
      <c r="J28" s="2" t="s">
        <v>6</v>
      </c>
      <c r="K28" s="2" t="s">
        <v>7</v>
      </c>
      <c r="L28" s="2" t="s">
        <v>9</v>
      </c>
      <c r="M28" s="2" t="s">
        <v>9</v>
      </c>
      <c r="N28" s="2"/>
      <c r="O28" s="20" t="s">
        <v>67</v>
      </c>
      <c r="P28" s="20" t="s">
        <v>27</v>
      </c>
    </row>
    <row r="29" spans="1:16" ht="156" x14ac:dyDescent="0.3">
      <c r="A29" s="33">
        <v>7</v>
      </c>
      <c r="B29" s="12" t="s">
        <v>121</v>
      </c>
      <c r="C29" s="13" t="s">
        <v>122</v>
      </c>
      <c r="D29" s="14">
        <v>100000000</v>
      </c>
      <c r="E29" s="15">
        <v>45723</v>
      </c>
      <c r="F29" s="13" t="s">
        <v>101</v>
      </c>
      <c r="G29" s="1" t="s">
        <v>123</v>
      </c>
      <c r="H29" s="1" t="s">
        <v>124</v>
      </c>
      <c r="I29" s="1" t="s">
        <v>125</v>
      </c>
      <c r="J29" s="1" t="s">
        <v>126</v>
      </c>
      <c r="K29" s="1" t="s">
        <v>127</v>
      </c>
      <c r="L29" s="1" t="s">
        <v>128</v>
      </c>
      <c r="M29" s="1" t="s">
        <v>19</v>
      </c>
      <c r="N29" s="1"/>
      <c r="O29" s="21" t="s">
        <v>36</v>
      </c>
      <c r="P29" s="21" t="s">
        <v>37</v>
      </c>
    </row>
    <row r="30" spans="1:16" ht="156" x14ac:dyDescent="0.3">
      <c r="A30" s="34">
        <v>8</v>
      </c>
      <c r="B30" s="16" t="s">
        <v>129</v>
      </c>
      <c r="C30" s="13" t="s">
        <v>130</v>
      </c>
      <c r="D30" s="14">
        <v>100000000</v>
      </c>
      <c r="E30" s="15">
        <v>45723</v>
      </c>
      <c r="F30" s="13" t="s">
        <v>101</v>
      </c>
      <c r="G30" s="2" t="s">
        <v>123</v>
      </c>
      <c r="H30" s="2" t="s">
        <v>124</v>
      </c>
      <c r="I30" s="2" t="s">
        <v>125</v>
      </c>
      <c r="J30" s="2" t="s">
        <v>126</v>
      </c>
      <c r="K30" s="2" t="s">
        <v>127</v>
      </c>
      <c r="L30" s="2" t="s">
        <v>128</v>
      </c>
      <c r="M30" s="2" t="s">
        <v>19</v>
      </c>
      <c r="N30" s="2"/>
      <c r="O30" s="20" t="s">
        <v>36</v>
      </c>
      <c r="P30" s="20" t="s">
        <v>37</v>
      </c>
    </row>
    <row r="31" spans="1:16" ht="156" x14ac:dyDescent="0.3">
      <c r="A31" s="33">
        <v>9</v>
      </c>
      <c r="B31" s="12" t="s">
        <v>131</v>
      </c>
      <c r="C31" s="13" t="s">
        <v>132</v>
      </c>
      <c r="D31" s="14">
        <v>100000000</v>
      </c>
      <c r="E31" s="15">
        <v>45723</v>
      </c>
      <c r="F31" s="13" t="s">
        <v>101</v>
      </c>
      <c r="G31" s="1" t="s">
        <v>123</v>
      </c>
      <c r="H31" s="1" t="s">
        <v>124</v>
      </c>
      <c r="I31" s="1" t="s">
        <v>125</v>
      </c>
      <c r="J31" s="1" t="s">
        <v>126</v>
      </c>
      <c r="K31" s="1" t="s">
        <v>127</v>
      </c>
      <c r="L31" s="1" t="s">
        <v>128</v>
      </c>
      <c r="M31" s="1" t="s">
        <v>19</v>
      </c>
      <c r="N31" s="1"/>
      <c r="O31" s="21" t="s">
        <v>36</v>
      </c>
      <c r="P31" s="21" t="s">
        <v>37</v>
      </c>
    </row>
    <row r="32" spans="1:16" ht="156" x14ac:dyDescent="0.3">
      <c r="A32" s="34">
        <v>10</v>
      </c>
      <c r="B32" s="16" t="s">
        <v>133</v>
      </c>
      <c r="C32" s="13" t="s">
        <v>134</v>
      </c>
      <c r="D32" s="14">
        <v>100000000</v>
      </c>
      <c r="E32" s="15">
        <v>45723</v>
      </c>
      <c r="F32" s="13" t="s">
        <v>101</v>
      </c>
      <c r="G32" s="2" t="s">
        <v>123</v>
      </c>
      <c r="H32" s="2" t="s">
        <v>124</v>
      </c>
      <c r="I32" s="2" t="s">
        <v>125</v>
      </c>
      <c r="J32" s="2" t="s">
        <v>126</v>
      </c>
      <c r="K32" s="2" t="s">
        <v>127</v>
      </c>
      <c r="L32" s="2" t="s">
        <v>128</v>
      </c>
      <c r="M32" s="2" t="s">
        <v>19</v>
      </c>
      <c r="N32" s="2"/>
      <c r="O32" s="20" t="s">
        <v>36</v>
      </c>
      <c r="P32" s="20" t="s">
        <v>37</v>
      </c>
    </row>
    <row r="33" spans="1:16" ht="156" x14ac:dyDescent="0.3">
      <c r="A33" s="33">
        <v>11</v>
      </c>
      <c r="B33" s="12" t="s">
        <v>135</v>
      </c>
      <c r="C33" s="13" t="s">
        <v>136</v>
      </c>
      <c r="D33" s="14">
        <v>100000000</v>
      </c>
      <c r="E33" s="15">
        <v>45723</v>
      </c>
      <c r="F33" s="13" t="s">
        <v>101</v>
      </c>
      <c r="G33" s="1" t="s">
        <v>123</v>
      </c>
      <c r="H33" s="1" t="s">
        <v>124</v>
      </c>
      <c r="I33" s="1" t="s">
        <v>125</v>
      </c>
      <c r="J33" s="1" t="s">
        <v>126</v>
      </c>
      <c r="K33" s="1" t="s">
        <v>127</v>
      </c>
      <c r="L33" s="1" t="s">
        <v>128</v>
      </c>
      <c r="M33" s="1" t="s">
        <v>19</v>
      </c>
      <c r="N33" s="1"/>
      <c r="O33" s="21" t="s">
        <v>137</v>
      </c>
      <c r="P33" s="21" t="s">
        <v>37</v>
      </c>
    </row>
    <row r="34" spans="1:16" ht="156" x14ac:dyDescent="0.3">
      <c r="A34" s="34">
        <v>12</v>
      </c>
      <c r="B34" s="16" t="s">
        <v>138</v>
      </c>
      <c r="C34" s="13" t="s">
        <v>139</v>
      </c>
      <c r="D34" s="14">
        <v>20000000</v>
      </c>
      <c r="E34" s="15">
        <v>45723</v>
      </c>
      <c r="F34" s="13" t="s">
        <v>101</v>
      </c>
      <c r="G34" s="2" t="s">
        <v>123</v>
      </c>
      <c r="H34" s="2" t="s">
        <v>140</v>
      </c>
      <c r="I34" s="2" t="s">
        <v>125</v>
      </c>
      <c r="J34" s="2" t="s">
        <v>126</v>
      </c>
      <c r="K34" s="2" t="s">
        <v>18</v>
      </c>
      <c r="L34" s="2" t="s">
        <v>95</v>
      </c>
      <c r="M34" s="2" t="s">
        <v>141</v>
      </c>
      <c r="N34" s="2" t="s">
        <v>142</v>
      </c>
      <c r="O34" s="20" t="s">
        <v>143</v>
      </c>
      <c r="P34" s="20" t="s">
        <v>22</v>
      </c>
    </row>
    <row r="35" spans="1:16" ht="132" x14ac:dyDescent="0.3">
      <c r="A35" s="33">
        <v>13</v>
      </c>
      <c r="B35" s="12" t="s">
        <v>144</v>
      </c>
      <c r="C35" s="13" t="s">
        <v>145</v>
      </c>
      <c r="D35" s="14">
        <v>100000000</v>
      </c>
      <c r="E35" s="15">
        <v>45723</v>
      </c>
      <c r="F35" s="13" t="s">
        <v>101</v>
      </c>
      <c r="G35" s="1" t="s">
        <v>14</v>
      </c>
      <c r="H35" s="1" t="s">
        <v>57</v>
      </c>
      <c r="I35" s="1" t="s">
        <v>105</v>
      </c>
      <c r="J35" s="1" t="s">
        <v>126</v>
      </c>
      <c r="K35" s="1" t="s">
        <v>127</v>
      </c>
      <c r="L35" s="1" t="s">
        <v>128</v>
      </c>
      <c r="M35" s="1" t="s">
        <v>19</v>
      </c>
      <c r="N35" s="1"/>
      <c r="O35" s="21" t="s">
        <v>36</v>
      </c>
      <c r="P35" s="21" t="s">
        <v>37</v>
      </c>
    </row>
    <row r="36" spans="1:16" ht="72" x14ac:dyDescent="0.3">
      <c r="A36" s="34">
        <v>14</v>
      </c>
      <c r="B36" s="13" t="s">
        <v>146</v>
      </c>
      <c r="C36" s="13" t="s">
        <v>147</v>
      </c>
      <c r="D36" s="14">
        <v>18450000</v>
      </c>
      <c r="E36" s="15">
        <v>45726</v>
      </c>
      <c r="F36" s="13" t="s">
        <v>101</v>
      </c>
      <c r="G36" s="2" t="s">
        <v>3</v>
      </c>
      <c r="H36" s="2" t="s">
        <v>4</v>
      </c>
      <c r="I36" s="2" t="s">
        <v>5</v>
      </c>
      <c r="J36" s="2" t="s">
        <v>6</v>
      </c>
      <c r="K36" s="2" t="s">
        <v>7</v>
      </c>
      <c r="L36" s="2" t="s">
        <v>9</v>
      </c>
      <c r="M36" s="2" t="s">
        <v>9</v>
      </c>
      <c r="N36" s="2"/>
      <c r="O36" s="20" t="s">
        <v>67</v>
      </c>
      <c r="P36" s="20" t="s">
        <v>27</v>
      </c>
    </row>
    <row r="37" spans="1:16" ht="60" x14ac:dyDescent="0.3">
      <c r="A37" s="33">
        <v>15</v>
      </c>
      <c r="B37" s="13" t="s">
        <v>148</v>
      </c>
      <c r="C37" s="13" t="s">
        <v>149</v>
      </c>
      <c r="D37" s="14">
        <v>13211220</v>
      </c>
      <c r="E37" s="15">
        <v>45726</v>
      </c>
      <c r="F37" s="13" t="s">
        <v>101</v>
      </c>
      <c r="G37" s="1" t="s">
        <v>3</v>
      </c>
      <c r="H37" s="1" t="s">
        <v>4</v>
      </c>
      <c r="I37" s="1" t="s">
        <v>25</v>
      </c>
      <c r="J37" s="1" t="s">
        <v>6</v>
      </c>
      <c r="K37" s="1" t="s">
        <v>7</v>
      </c>
      <c r="L37" s="1" t="s">
        <v>19</v>
      </c>
      <c r="M37" s="1" t="s">
        <v>35</v>
      </c>
      <c r="N37" s="1" t="s">
        <v>150</v>
      </c>
      <c r="O37" s="21" t="s">
        <v>64</v>
      </c>
      <c r="P37" s="21" t="s">
        <v>27</v>
      </c>
    </row>
    <row r="38" spans="1:16" ht="84" x14ac:dyDescent="0.3">
      <c r="A38" s="34">
        <v>16</v>
      </c>
      <c r="B38" s="13" t="s">
        <v>151</v>
      </c>
      <c r="C38" s="13" t="s">
        <v>152</v>
      </c>
      <c r="D38" s="14">
        <v>250000000</v>
      </c>
      <c r="E38" s="15">
        <v>45730</v>
      </c>
      <c r="F38" s="13" t="s">
        <v>101</v>
      </c>
      <c r="G38" s="2" t="s">
        <v>14</v>
      </c>
      <c r="H38" s="2" t="s">
        <v>32</v>
      </c>
      <c r="I38" s="2" t="s">
        <v>33</v>
      </c>
      <c r="J38" s="2" t="s">
        <v>17</v>
      </c>
      <c r="K38" s="2" t="s">
        <v>18</v>
      </c>
      <c r="L38" s="2" t="s">
        <v>153</v>
      </c>
      <c r="M38" s="2" t="s">
        <v>35</v>
      </c>
      <c r="N38" s="2" t="s">
        <v>154</v>
      </c>
      <c r="O38" s="20" t="s">
        <v>155</v>
      </c>
      <c r="P38" s="20" t="s">
        <v>80</v>
      </c>
    </row>
    <row r="39" spans="1:16" ht="96" x14ac:dyDescent="0.3">
      <c r="A39" s="33">
        <v>17</v>
      </c>
      <c r="B39" s="13" t="s">
        <v>156</v>
      </c>
      <c r="C39" s="13" t="s">
        <v>157</v>
      </c>
      <c r="D39" s="14">
        <v>5000000</v>
      </c>
      <c r="E39" s="15">
        <v>45736</v>
      </c>
      <c r="F39" s="13" t="s">
        <v>101</v>
      </c>
      <c r="G39" s="1" t="s">
        <v>14</v>
      </c>
      <c r="H39" s="1" t="s">
        <v>57</v>
      </c>
      <c r="I39" s="1" t="s">
        <v>70</v>
      </c>
      <c r="J39" s="1" t="s">
        <v>17</v>
      </c>
      <c r="K39" s="1" t="s">
        <v>59</v>
      </c>
      <c r="L39" s="1" t="s">
        <v>71</v>
      </c>
      <c r="M39" s="1" t="s">
        <v>19</v>
      </c>
      <c r="N39" s="1"/>
      <c r="O39" s="21"/>
      <c r="P39" s="21" t="s">
        <v>72</v>
      </c>
    </row>
    <row r="40" spans="1:16" ht="84" x14ac:dyDescent="0.3">
      <c r="A40" s="34">
        <v>18</v>
      </c>
      <c r="B40" s="13" t="s">
        <v>158</v>
      </c>
      <c r="C40" s="13" t="s">
        <v>159</v>
      </c>
      <c r="D40" s="14">
        <v>5000000</v>
      </c>
      <c r="E40" s="15">
        <v>45736</v>
      </c>
      <c r="F40" s="13" t="s">
        <v>101</v>
      </c>
      <c r="G40" s="2" t="s">
        <v>14</v>
      </c>
      <c r="H40" s="2" t="s">
        <v>57</v>
      </c>
      <c r="I40" s="2" t="s">
        <v>70</v>
      </c>
      <c r="J40" s="2" t="s">
        <v>17</v>
      </c>
      <c r="K40" s="2" t="s">
        <v>59</v>
      </c>
      <c r="L40" s="2" t="s">
        <v>71</v>
      </c>
      <c r="M40" s="2" t="s">
        <v>19</v>
      </c>
      <c r="N40" s="2"/>
      <c r="O40" s="20"/>
      <c r="P40" s="20" t="s">
        <v>72</v>
      </c>
    </row>
    <row r="41" spans="1:16" ht="72" x14ac:dyDescent="0.3">
      <c r="A41" s="33">
        <v>19</v>
      </c>
      <c r="B41" s="13" t="s">
        <v>160</v>
      </c>
      <c r="C41" s="13" t="s">
        <v>161</v>
      </c>
      <c r="D41" s="14">
        <v>25000000</v>
      </c>
      <c r="E41" s="15">
        <v>45740</v>
      </c>
      <c r="F41" s="13" t="s">
        <v>101</v>
      </c>
      <c r="G41" s="1" t="s">
        <v>14</v>
      </c>
      <c r="H41" s="1" t="s">
        <v>32</v>
      </c>
      <c r="I41" s="1" t="s">
        <v>33</v>
      </c>
      <c r="J41" s="1" t="s">
        <v>17</v>
      </c>
      <c r="K41" s="1" t="s">
        <v>59</v>
      </c>
      <c r="L41" s="1" t="s">
        <v>109</v>
      </c>
      <c r="M41" s="1" t="s">
        <v>110</v>
      </c>
      <c r="N41" s="1" t="s">
        <v>111</v>
      </c>
      <c r="O41" s="21" t="s">
        <v>162</v>
      </c>
      <c r="P41" s="21" t="s">
        <v>22</v>
      </c>
    </row>
    <row r="42" spans="1:16" ht="72" x14ac:dyDescent="0.3">
      <c r="A42" s="34">
        <v>20</v>
      </c>
      <c r="B42" s="13" t="s">
        <v>163</v>
      </c>
      <c r="C42" s="13" t="s">
        <v>164</v>
      </c>
      <c r="D42" s="14">
        <v>50000000</v>
      </c>
      <c r="E42" s="15">
        <v>45740</v>
      </c>
      <c r="F42" s="13" t="s">
        <v>101</v>
      </c>
      <c r="G42" s="2" t="s">
        <v>14</v>
      </c>
      <c r="H42" s="2" t="s">
        <v>165</v>
      </c>
      <c r="I42" s="2" t="s">
        <v>166</v>
      </c>
      <c r="J42" s="2" t="s">
        <v>17</v>
      </c>
      <c r="K42" s="2" t="s">
        <v>18</v>
      </c>
      <c r="L42" s="2" t="s">
        <v>8</v>
      </c>
      <c r="M42" s="2" t="s">
        <v>9</v>
      </c>
      <c r="N42" s="2" t="s">
        <v>167</v>
      </c>
      <c r="O42" s="20" t="s">
        <v>168</v>
      </c>
      <c r="P42" s="20" t="s">
        <v>72</v>
      </c>
    </row>
    <row r="43" spans="1:16" ht="72" x14ac:dyDescent="0.3">
      <c r="A43" s="33">
        <v>21</v>
      </c>
      <c r="B43" s="13" t="s">
        <v>169</v>
      </c>
      <c r="C43" s="13" t="s">
        <v>170</v>
      </c>
      <c r="D43" s="14">
        <v>17489160</v>
      </c>
      <c r="E43" s="15">
        <v>45743</v>
      </c>
      <c r="F43" s="13" t="s">
        <v>101</v>
      </c>
      <c r="G43" s="1" t="s">
        <v>14</v>
      </c>
      <c r="H43" s="1" t="s">
        <v>32</v>
      </c>
      <c r="I43" s="1" t="s">
        <v>33</v>
      </c>
      <c r="J43" s="1" t="s">
        <v>17</v>
      </c>
      <c r="K43" s="1" t="s">
        <v>18</v>
      </c>
      <c r="L43" s="1" t="s">
        <v>34</v>
      </c>
      <c r="M43" s="1" t="s">
        <v>9</v>
      </c>
      <c r="N43" s="1"/>
      <c r="O43" s="21" t="s">
        <v>36</v>
      </c>
      <c r="P43" s="21" t="s">
        <v>37</v>
      </c>
    </row>
    <row r="44" spans="1:16" ht="48" x14ac:dyDescent="0.3">
      <c r="A44" s="34">
        <v>22</v>
      </c>
      <c r="B44" s="16" t="s">
        <v>171</v>
      </c>
      <c r="C44" s="13" t="s">
        <v>172</v>
      </c>
      <c r="D44" s="14">
        <v>34285680</v>
      </c>
      <c r="E44" s="15">
        <v>45743</v>
      </c>
      <c r="F44" s="13" t="s">
        <v>101</v>
      </c>
      <c r="G44" s="2" t="s">
        <v>14</v>
      </c>
      <c r="H44" s="2" t="s">
        <v>32</v>
      </c>
      <c r="I44" s="2" t="s">
        <v>33</v>
      </c>
      <c r="J44" s="2" t="s">
        <v>17</v>
      </c>
      <c r="K44" s="2" t="s">
        <v>18</v>
      </c>
      <c r="L44" s="2" t="s">
        <v>34</v>
      </c>
      <c r="M44" s="2" t="s">
        <v>9</v>
      </c>
      <c r="N44" s="2"/>
      <c r="O44" s="20" t="s">
        <v>36</v>
      </c>
      <c r="P44" s="20" t="s">
        <v>37</v>
      </c>
    </row>
    <row r="45" spans="1:16" ht="108" x14ac:dyDescent="0.3">
      <c r="A45" s="33">
        <v>23</v>
      </c>
      <c r="B45" s="11" t="s">
        <v>173</v>
      </c>
      <c r="C45" s="13" t="s">
        <v>174</v>
      </c>
      <c r="D45" s="14">
        <v>5000000</v>
      </c>
      <c r="E45" s="15">
        <v>45743</v>
      </c>
      <c r="F45" s="13" t="s">
        <v>101</v>
      </c>
      <c r="G45" s="1" t="s">
        <v>14</v>
      </c>
      <c r="H45" s="1" t="s">
        <v>57</v>
      </c>
      <c r="I45" s="1" t="s">
        <v>58</v>
      </c>
      <c r="J45" s="1" t="s">
        <v>17</v>
      </c>
      <c r="K45" s="1" t="s">
        <v>18</v>
      </c>
      <c r="L45" s="1" t="s">
        <v>34</v>
      </c>
      <c r="M45" s="1" t="s">
        <v>175</v>
      </c>
      <c r="N45" s="1" t="s">
        <v>176</v>
      </c>
      <c r="O45" s="21" t="s">
        <v>177</v>
      </c>
      <c r="P45" s="21" t="s">
        <v>27</v>
      </c>
    </row>
    <row r="46" spans="1:16" ht="60" x14ac:dyDescent="0.3">
      <c r="A46" s="34">
        <v>24</v>
      </c>
      <c r="B46" s="13" t="s">
        <v>178</v>
      </c>
      <c r="C46" s="13" t="s">
        <v>179</v>
      </c>
      <c r="D46" s="14">
        <v>25000000</v>
      </c>
      <c r="E46" s="15">
        <v>45744</v>
      </c>
      <c r="F46" s="13" t="s">
        <v>101</v>
      </c>
      <c r="G46" s="2" t="s">
        <v>14</v>
      </c>
      <c r="H46" s="2" t="s">
        <v>32</v>
      </c>
      <c r="I46" s="2" t="s">
        <v>33</v>
      </c>
      <c r="J46" s="2" t="s">
        <v>17</v>
      </c>
      <c r="K46" s="2" t="s">
        <v>59</v>
      </c>
      <c r="L46" s="2" t="s">
        <v>109</v>
      </c>
      <c r="M46" s="2" t="s">
        <v>110</v>
      </c>
      <c r="N46" s="2" t="s">
        <v>111</v>
      </c>
      <c r="O46" s="20" t="s">
        <v>180</v>
      </c>
      <c r="P46" s="20" t="s">
        <v>181</v>
      </c>
    </row>
    <row r="47" spans="1:16" ht="72" x14ac:dyDescent="0.3">
      <c r="A47" s="33">
        <v>25</v>
      </c>
      <c r="B47" s="13" t="s">
        <v>182</v>
      </c>
      <c r="C47" s="13" t="s">
        <v>183</v>
      </c>
      <c r="D47" s="14">
        <v>35000000</v>
      </c>
      <c r="E47" s="15">
        <v>45719</v>
      </c>
      <c r="F47" s="13" t="s">
        <v>101</v>
      </c>
      <c r="G47" s="1" t="s">
        <v>14</v>
      </c>
      <c r="H47" s="1" t="s">
        <v>32</v>
      </c>
      <c r="I47" s="1" t="s">
        <v>33</v>
      </c>
      <c r="J47" s="1" t="s">
        <v>17</v>
      </c>
      <c r="K47" s="1" t="s">
        <v>18</v>
      </c>
      <c r="L47" s="1" t="s">
        <v>8</v>
      </c>
      <c r="M47" s="1" t="s">
        <v>19</v>
      </c>
      <c r="N47" s="1"/>
      <c r="O47" s="21" t="s">
        <v>184</v>
      </c>
      <c r="P47" s="21" t="s">
        <v>37</v>
      </c>
    </row>
    <row r="48" spans="1:16" ht="84" x14ac:dyDescent="0.3">
      <c r="A48" s="34">
        <v>26</v>
      </c>
      <c r="B48" s="13" t="s">
        <v>185</v>
      </c>
      <c r="C48" s="13" t="s">
        <v>186</v>
      </c>
      <c r="D48" s="14">
        <v>22500000</v>
      </c>
      <c r="E48" s="15">
        <v>45719</v>
      </c>
      <c r="F48" s="13" t="s">
        <v>101</v>
      </c>
      <c r="G48" s="2" t="s">
        <v>14</v>
      </c>
      <c r="H48" s="2" t="s">
        <v>32</v>
      </c>
      <c r="I48" s="2" t="s">
        <v>33</v>
      </c>
      <c r="J48" s="2" t="s">
        <v>17</v>
      </c>
      <c r="K48" s="2" t="s">
        <v>18</v>
      </c>
      <c r="L48" s="2" t="s">
        <v>153</v>
      </c>
      <c r="M48" s="2" t="s">
        <v>187</v>
      </c>
      <c r="N48" s="2" t="s">
        <v>188</v>
      </c>
      <c r="O48" s="20" t="s">
        <v>189</v>
      </c>
      <c r="P48" s="20" t="s">
        <v>72</v>
      </c>
    </row>
    <row r="49" spans="1:16" ht="108" x14ac:dyDescent="0.3">
      <c r="A49" s="33">
        <v>27</v>
      </c>
      <c r="B49" s="13" t="s">
        <v>190</v>
      </c>
      <c r="C49" s="13" t="s">
        <v>191</v>
      </c>
      <c r="D49" s="14">
        <v>2000000</v>
      </c>
      <c r="E49" s="15">
        <v>45744</v>
      </c>
      <c r="F49" s="13" t="s">
        <v>101</v>
      </c>
      <c r="G49" s="1" t="s">
        <v>14</v>
      </c>
      <c r="H49" s="1" t="s">
        <v>165</v>
      </c>
      <c r="I49" s="1" t="s">
        <v>58</v>
      </c>
      <c r="J49" s="1" t="s">
        <v>17</v>
      </c>
      <c r="K49" s="1" t="s">
        <v>18</v>
      </c>
      <c r="L49" s="1" t="s">
        <v>192</v>
      </c>
      <c r="M49" s="1" t="s">
        <v>193</v>
      </c>
      <c r="N49" s="3" t="s">
        <v>194</v>
      </c>
      <c r="O49" s="21" t="s">
        <v>67</v>
      </c>
      <c r="P49" s="21" t="s">
        <v>27</v>
      </c>
    </row>
    <row r="50" spans="1:16" ht="48" x14ac:dyDescent="0.3">
      <c r="A50" s="34">
        <v>28</v>
      </c>
      <c r="B50" s="8" t="s">
        <v>195</v>
      </c>
      <c r="C50" s="8" t="s">
        <v>196</v>
      </c>
      <c r="D50" s="9">
        <v>350000000</v>
      </c>
      <c r="E50" s="10">
        <v>45720</v>
      </c>
      <c r="F50" s="13" t="s">
        <v>101</v>
      </c>
      <c r="G50" s="2" t="s">
        <v>3</v>
      </c>
      <c r="H50" s="2" t="s">
        <v>4</v>
      </c>
      <c r="I50" s="2" t="s">
        <v>25</v>
      </c>
      <c r="J50" s="2" t="s">
        <v>6</v>
      </c>
      <c r="K50" s="2" t="s">
        <v>7</v>
      </c>
      <c r="L50" s="2" t="s">
        <v>9</v>
      </c>
      <c r="M50" s="2" t="s">
        <v>9</v>
      </c>
      <c r="N50" s="2"/>
      <c r="O50" s="20" t="s">
        <v>64</v>
      </c>
      <c r="P50" s="20" t="s">
        <v>27</v>
      </c>
    </row>
    <row r="51" spans="1:16" ht="60" x14ac:dyDescent="0.3">
      <c r="A51" s="33">
        <v>1</v>
      </c>
      <c r="B51" s="11" t="s">
        <v>197</v>
      </c>
      <c r="C51" s="17" t="s">
        <v>198</v>
      </c>
      <c r="D51" s="18">
        <v>2408250</v>
      </c>
      <c r="E51" s="19">
        <v>45754</v>
      </c>
      <c r="F51" s="17" t="s">
        <v>199</v>
      </c>
      <c r="G51" s="1" t="s">
        <v>14</v>
      </c>
      <c r="H51" s="1" t="s">
        <v>32</v>
      </c>
      <c r="I51" s="1" t="s">
        <v>33</v>
      </c>
      <c r="J51" s="1" t="s">
        <v>17</v>
      </c>
      <c r="K51" s="1" t="s">
        <v>59</v>
      </c>
      <c r="L51" s="1" t="s">
        <v>109</v>
      </c>
      <c r="M51" s="1" t="s">
        <v>110</v>
      </c>
      <c r="N51" s="1" t="s">
        <v>111</v>
      </c>
      <c r="O51" s="21" t="s">
        <v>168</v>
      </c>
      <c r="P51" s="21" t="s">
        <v>72</v>
      </c>
    </row>
    <row r="52" spans="1:16" ht="108" x14ac:dyDescent="0.3">
      <c r="A52" s="34">
        <v>2</v>
      </c>
      <c r="B52" s="16" t="s">
        <v>200</v>
      </c>
      <c r="C52" s="8" t="s">
        <v>201</v>
      </c>
      <c r="D52" s="9">
        <v>2400000</v>
      </c>
      <c r="E52" s="10">
        <v>45764</v>
      </c>
      <c r="F52" s="8" t="s">
        <v>199</v>
      </c>
      <c r="G52" s="2" t="s">
        <v>14</v>
      </c>
      <c r="H52" s="2" t="s">
        <v>32</v>
      </c>
      <c r="I52" s="2" t="s">
        <v>58</v>
      </c>
      <c r="J52" s="2" t="s">
        <v>17</v>
      </c>
      <c r="K52" s="2" t="s">
        <v>59</v>
      </c>
      <c r="L52" s="2" t="s">
        <v>19</v>
      </c>
      <c r="M52" s="2" t="s">
        <v>202</v>
      </c>
      <c r="N52" s="2" t="s">
        <v>203</v>
      </c>
      <c r="O52" s="20" t="s">
        <v>36</v>
      </c>
      <c r="P52" s="20" t="s">
        <v>37</v>
      </c>
    </row>
    <row r="53" spans="1:16" ht="60" x14ac:dyDescent="0.3">
      <c r="A53" s="33">
        <v>3</v>
      </c>
      <c r="B53" s="11" t="s">
        <v>204</v>
      </c>
      <c r="C53" s="17" t="s">
        <v>205</v>
      </c>
      <c r="D53" s="18">
        <v>15250000</v>
      </c>
      <c r="E53" s="19">
        <v>45770</v>
      </c>
      <c r="F53" s="17" t="s">
        <v>199</v>
      </c>
      <c r="G53" s="1" t="s">
        <v>14</v>
      </c>
      <c r="H53" s="1" t="s">
        <v>32</v>
      </c>
      <c r="I53" s="1" t="s">
        <v>33</v>
      </c>
      <c r="J53" s="1" t="s">
        <v>17</v>
      </c>
      <c r="K53" s="1" t="s">
        <v>59</v>
      </c>
      <c r="L53" s="1" t="s">
        <v>109</v>
      </c>
      <c r="M53" s="1" t="s">
        <v>110</v>
      </c>
      <c r="N53" s="1" t="s">
        <v>111</v>
      </c>
      <c r="O53" s="21" t="s">
        <v>206</v>
      </c>
      <c r="P53" s="21" t="s">
        <v>207</v>
      </c>
    </row>
    <row r="54" spans="1:16" ht="48" x14ac:dyDescent="0.3">
      <c r="A54" s="34">
        <v>4</v>
      </c>
      <c r="B54" s="16" t="s">
        <v>208</v>
      </c>
      <c r="C54" s="8" t="s">
        <v>209</v>
      </c>
      <c r="D54" s="9">
        <v>15000000</v>
      </c>
      <c r="E54" s="10">
        <v>45775</v>
      </c>
      <c r="F54" s="8" t="s">
        <v>199</v>
      </c>
      <c r="G54" s="2" t="s">
        <v>3</v>
      </c>
      <c r="H54" s="2" t="s">
        <v>4</v>
      </c>
      <c r="I54" s="2" t="s">
        <v>5</v>
      </c>
      <c r="J54" s="2" t="s">
        <v>6</v>
      </c>
      <c r="K54" s="2" t="s">
        <v>7</v>
      </c>
      <c r="L54" s="2" t="s">
        <v>9</v>
      </c>
      <c r="M54" s="2" t="s">
        <v>9</v>
      </c>
      <c r="N54" s="2"/>
      <c r="O54" s="20" t="s">
        <v>210</v>
      </c>
      <c r="P54" s="20" t="s">
        <v>211</v>
      </c>
    </row>
    <row r="55" spans="1:16" ht="60" x14ac:dyDescent="0.3">
      <c r="A55" s="33">
        <v>5</v>
      </c>
      <c r="B55" s="11" t="s">
        <v>212</v>
      </c>
      <c r="C55" s="17" t="s">
        <v>213</v>
      </c>
      <c r="D55" s="18">
        <v>15723000</v>
      </c>
      <c r="E55" s="19">
        <v>45775</v>
      </c>
      <c r="F55" s="17" t="s">
        <v>199</v>
      </c>
      <c r="G55" s="1" t="s">
        <v>14</v>
      </c>
      <c r="H55" s="1" t="s">
        <v>32</v>
      </c>
      <c r="I55" s="1" t="s">
        <v>33</v>
      </c>
      <c r="J55" s="1" t="s">
        <v>17</v>
      </c>
      <c r="K55" s="1" t="s">
        <v>59</v>
      </c>
      <c r="L55" s="1" t="s">
        <v>109</v>
      </c>
      <c r="M55" s="1" t="s">
        <v>110</v>
      </c>
      <c r="N55" s="1" t="s">
        <v>111</v>
      </c>
      <c r="O55" s="21"/>
      <c r="P55" s="21" t="s">
        <v>214</v>
      </c>
    </row>
    <row r="56" spans="1:16" ht="60" x14ac:dyDescent="0.3">
      <c r="A56" s="34">
        <v>6</v>
      </c>
      <c r="B56" s="16" t="s">
        <v>215</v>
      </c>
      <c r="C56" s="8" t="s">
        <v>216</v>
      </c>
      <c r="D56" s="9">
        <v>42500000</v>
      </c>
      <c r="E56" s="10">
        <v>45775</v>
      </c>
      <c r="F56" s="8" t="s">
        <v>199</v>
      </c>
      <c r="G56" s="2" t="s">
        <v>3</v>
      </c>
      <c r="H56" s="2" t="s">
        <v>4</v>
      </c>
      <c r="I56" s="2" t="s">
        <v>25</v>
      </c>
      <c r="J56" s="2" t="s">
        <v>6</v>
      </c>
      <c r="K56" s="2" t="s">
        <v>7</v>
      </c>
      <c r="L56" s="2" t="s">
        <v>19</v>
      </c>
      <c r="M56" s="2" t="s">
        <v>9</v>
      </c>
      <c r="N56" s="2" t="s">
        <v>217</v>
      </c>
      <c r="O56" s="20" t="s">
        <v>64</v>
      </c>
      <c r="P56" s="20" t="s">
        <v>27</v>
      </c>
    </row>
    <row r="57" spans="1:16" ht="72" x14ac:dyDescent="0.3">
      <c r="A57" s="33">
        <v>7</v>
      </c>
      <c r="B57" s="11" t="s">
        <v>218</v>
      </c>
      <c r="C57" s="17" t="s">
        <v>219</v>
      </c>
      <c r="D57" s="18">
        <v>16747000</v>
      </c>
      <c r="E57" s="19">
        <v>45776</v>
      </c>
      <c r="F57" s="17" t="s">
        <v>199</v>
      </c>
      <c r="G57" s="1" t="s">
        <v>3</v>
      </c>
      <c r="H57" s="1" t="s">
        <v>4</v>
      </c>
      <c r="I57" s="1" t="s">
        <v>5</v>
      </c>
      <c r="J57" s="1" t="s">
        <v>6</v>
      </c>
      <c r="K57" s="1" t="s">
        <v>7</v>
      </c>
      <c r="L57" s="1" t="s">
        <v>9</v>
      </c>
      <c r="M57" s="1" t="s">
        <v>9</v>
      </c>
      <c r="N57" s="1"/>
      <c r="O57" s="21"/>
      <c r="P57" s="21" t="s">
        <v>27</v>
      </c>
    </row>
    <row r="58" spans="1:16" ht="96" x14ac:dyDescent="0.3">
      <c r="A58" s="34">
        <v>8</v>
      </c>
      <c r="B58" s="16" t="s">
        <v>220</v>
      </c>
      <c r="C58" s="8" t="s">
        <v>221</v>
      </c>
      <c r="D58" s="9">
        <v>5000000</v>
      </c>
      <c r="E58" s="10">
        <v>45756</v>
      </c>
      <c r="F58" s="8" t="s">
        <v>199</v>
      </c>
      <c r="G58" s="2" t="s">
        <v>14</v>
      </c>
      <c r="H58" s="2" t="s">
        <v>57</v>
      </c>
      <c r="I58" s="2" t="s">
        <v>70</v>
      </c>
      <c r="J58" s="2" t="s">
        <v>17</v>
      </c>
      <c r="K58" s="2" t="s">
        <v>59</v>
      </c>
      <c r="L58" s="2" t="s">
        <v>71</v>
      </c>
      <c r="M58" s="2" t="s">
        <v>19</v>
      </c>
      <c r="N58" s="2"/>
      <c r="O58" s="20"/>
      <c r="P58" s="20" t="s">
        <v>72</v>
      </c>
    </row>
    <row r="59" spans="1:16" ht="84" x14ac:dyDescent="0.3">
      <c r="A59" s="33">
        <v>9</v>
      </c>
      <c r="B59" s="11" t="s">
        <v>222</v>
      </c>
      <c r="C59" s="17" t="s">
        <v>223</v>
      </c>
      <c r="D59" s="18">
        <v>5000000</v>
      </c>
      <c r="E59" s="19">
        <v>45756</v>
      </c>
      <c r="F59" s="17" t="s">
        <v>199</v>
      </c>
      <c r="G59" s="1" t="s">
        <v>14</v>
      </c>
      <c r="H59" s="1" t="s">
        <v>57</v>
      </c>
      <c r="I59" s="1" t="s">
        <v>70</v>
      </c>
      <c r="J59" s="1" t="s">
        <v>17</v>
      </c>
      <c r="K59" s="1" t="s">
        <v>59</v>
      </c>
      <c r="L59" s="1" t="s">
        <v>71</v>
      </c>
      <c r="M59" s="1" t="s">
        <v>19</v>
      </c>
      <c r="N59" s="1"/>
      <c r="O59" s="21"/>
      <c r="P59" s="21" t="s">
        <v>72</v>
      </c>
    </row>
    <row r="60" spans="1:16" ht="96" x14ac:dyDescent="0.3">
      <c r="A60" s="34">
        <v>10</v>
      </c>
      <c r="B60" s="16" t="s">
        <v>224</v>
      </c>
      <c r="C60" s="8" t="s">
        <v>225</v>
      </c>
      <c r="D60" s="9">
        <v>5000000</v>
      </c>
      <c r="E60" s="10">
        <v>45757</v>
      </c>
      <c r="F60" s="8" t="s">
        <v>199</v>
      </c>
      <c r="G60" s="2" t="s">
        <v>14</v>
      </c>
      <c r="H60" s="2" t="s">
        <v>57</v>
      </c>
      <c r="I60" s="2" t="s">
        <v>70</v>
      </c>
      <c r="J60" s="2" t="s">
        <v>17</v>
      </c>
      <c r="K60" s="2" t="s">
        <v>59</v>
      </c>
      <c r="L60" s="2" t="s">
        <v>71</v>
      </c>
      <c r="M60" s="2" t="s">
        <v>19</v>
      </c>
      <c r="N60" s="2"/>
      <c r="O60" s="20"/>
      <c r="P60" s="20" t="s">
        <v>72</v>
      </c>
    </row>
    <row r="61" spans="1:16" ht="96" x14ac:dyDescent="0.3">
      <c r="A61" s="33">
        <v>11</v>
      </c>
      <c r="B61" s="11" t="s">
        <v>226</v>
      </c>
      <c r="C61" s="17" t="s">
        <v>227</v>
      </c>
      <c r="D61" s="18">
        <v>5000000</v>
      </c>
      <c r="E61" s="19">
        <v>45757</v>
      </c>
      <c r="F61" s="17" t="s">
        <v>199</v>
      </c>
      <c r="G61" s="1" t="s">
        <v>14</v>
      </c>
      <c r="H61" s="1" t="s">
        <v>57</v>
      </c>
      <c r="I61" s="1" t="s">
        <v>70</v>
      </c>
      <c r="J61" s="1" t="s">
        <v>17</v>
      </c>
      <c r="K61" s="1" t="s">
        <v>59</v>
      </c>
      <c r="L61" s="1" t="s">
        <v>71</v>
      </c>
      <c r="M61" s="1" t="s">
        <v>19</v>
      </c>
      <c r="N61" s="1"/>
      <c r="O61" s="21"/>
      <c r="P61" s="21" t="s">
        <v>72</v>
      </c>
    </row>
    <row r="62" spans="1:16" ht="84" x14ac:dyDescent="0.3">
      <c r="A62" s="34">
        <v>12</v>
      </c>
      <c r="B62" s="16" t="s">
        <v>228</v>
      </c>
      <c r="C62" s="8" t="s">
        <v>229</v>
      </c>
      <c r="D62" s="9">
        <v>5000000</v>
      </c>
      <c r="E62" s="10">
        <v>45757</v>
      </c>
      <c r="F62" s="8" t="s">
        <v>199</v>
      </c>
      <c r="G62" s="2" t="s">
        <v>14</v>
      </c>
      <c r="H62" s="2" t="s">
        <v>57</v>
      </c>
      <c r="I62" s="2" t="s">
        <v>70</v>
      </c>
      <c r="J62" s="2" t="s">
        <v>17</v>
      </c>
      <c r="K62" s="2" t="s">
        <v>59</v>
      </c>
      <c r="L62" s="2" t="s">
        <v>71</v>
      </c>
      <c r="M62" s="2" t="s">
        <v>19</v>
      </c>
      <c r="N62" s="2"/>
      <c r="O62" s="20"/>
      <c r="P62" s="20" t="s">
        <v>72</v>
      </c>
    </row>
    <row r="63" spans="1:16" ht="96" x14ac:dyDescent="0.3">
      <c r="A63" s="33">
        <v>13</v>
      </c>
      <c r="B63" s="17" t="s">
        <v>230</v>
      </c>
      <c r="C63" s="17" t="s">
        <v>231</v>
      </c>
      <c r="D63" s="18">
        <v>5000000</v>
      </c>
      <c r="E63" s="19">
        <v>45757</v>
      </c>
      <c r="F63" s="17" t="s">
        <v>199</v>
      </c>
      <c r="G63" s="1" t="s">
        <v>14</v>
      </c>
      <c r="H63" s="1" t="s">
        <v>57</v>
      </c>
      <c r="I63" s="1" t="s">
        <v>70</v>
      </c>
      <c r="J63" s="1" t="s">
        <v>17</v>
      </c>
      <c r="K63" s="1" t="s">
        <v>59</v>
      </c>
      <c r="L63" s="1" t="s">
        <v>71</v>
      </c>
      <c r="M63" s="1" t="s">
        <v>19</v>
      </c>
      <c r="N63" s="1"/>
      <c r="O63" s="21"/>
      <c r="P63" s="21" t="s">
        <v>72</v>
      </c>
    </row>
    <row r="64" spans="1:16" ht="156" x14ac:dyDescent="0.3">
      <c r="A64" s="34">
        <v>14</v>
      </c>
      <c r="B64" s="8" t="s">
        <v>232</v>
      </c>
      <c r="C64" s="8" t="s">
        <v>233</v>
      </c>
      <c r="D64" s="9">
        <v>100000000</v>
      </c>
      <c r="E64" s="10">
        <v>45757</v>
      </c>
      <c r="F64" s="8" t="s">
        <v>199</v>
      </c>
      <c r="G64" s="2" t="s">
        <v>123</v>
      </c>
      <c r="H64" s="2" t="s">
        <v>124</v>
      </c>
      <c r="I64" s="2" t="s">
        <v>125</v>
      </c>
      <c r="J64" s="2" t="s">
        <v>126</v>
      </c>
      <c r="K64" s="2" t="s">
        <v>59</v>
      </c>
      <c r="L64" s="2" t="s">
        <v>19</v>
      </c>
      <c r="M64" s="2" t="s">
        <v>35</v>
      </c>
      <c r="N64" s="2" t="s">
        <v>20</v>
      </c>
      <c r="O64" s="20" t="s">
        <v>21</v>
      </c>
      <c r="P64" s="20" t="s">
        <v>22</v>
      </c>
    </row>
    <row r="65" spans="1:16" ht="156" x14ac:dyDescent="0.3">
      <c r="A65" s="33">
        <v>15</v>
      </c>
      <c r="B65" s="17" t="s">
        <v>234</v>
      </c>
      <c r="C65" s="17" t="s">
        <v>235</v>
      </c>
      <c r="D65" s="18">
        <v>100000000</v>
      </c>
      <c r="E65" s="19">
        <v>45757</v>
      </c>
      <c r="F65" s="17" t="s">
        <v>199</v>
      </c>
      <c r="G65" s="1" t="s">
        <v>123</v>
      </c>
      <c r="H65" s="1" t="s">
        <v>124</v>
      </c>
      <c r="I65" s="1" t="s">
        <v>125</v>
      </c>
      <c r="J65" s="1" t="s">
        <v>126</v>
      </c>
      <c r="K65" s="1" t="s">
        <v>18</v>
      </c>
      <c r="L65" s="1" t="s">
        <v>71</v>
      </c>
      <c r="M65" s="1" t="s">
        <v>110</v>
      </c>
      <c r="N65" s="1" t="s">
        <v>71</v>
      </c>
      <c r="O65" s="21" t="s">
        <v>10</v>
      </c>
      <c r="P65" s="21" t="s">
        <v>236</v>
      </c>
    </row>
    <row r="66" spans="1:16" ht="84" x14ac:dyDescent="0.3">
      <c r="A66" s="34">
        <v>16</v>
      </c>
      <c r="B66" s="8" t="s">
        <v>237</v>
      </c>
      <c r="C66" s="8" t="s">
        <v>238</v>
      </c>
      <c r="D66" s="9">
        <v>5000000</v>
      </c>
      <c r="E66" s="10">
        <v>45758</v>
      </c>
      <c r="F66" s="8" t="s">
        <v>199</v>
      </c>
      <c r="G66" s="2" t="s">
        <v>14</v>
      </c>
      <c r="H66" s="2" t="s">
        <v>57</v>
      </c>
      <c r="I66" s="2" t="s">
        <v>70</v>
      </c>
      <c r="J66" s="2" t="s">
        <v>17</v>
      </c>
      <c r="K66" s="2" t="s">
        <v>59</v>
      </c>
      <c r="L66" s="2" t="s">
        <v>71</v>
      </c>
      <c r="M66" s="2" t="s">
        <v>19</v>
      </c>
      <c r="N66" s="2"/>
      <c r="O66" s="20"/>
      <c r="P66" s="20" t="s">
        <v>72</v>
      </c>
    </row>
    <row r="67" spans="1:16" ht="108" x14ac:dyDescent="0.3">
      <c r="A67" s="33">
        <v>17</v>
      </c>
      <c r="B67" s="17" t="s">
        <v>239</v>
      </c>
      <c r="C67" s="17" t="s">
        <v>240</v>
      </c>
      <c r="D67" s="18">
        <v>20000000</v>
      </c>
      <c r="E67" s="19">
        <v>45761</v>
      </c>
      <c r="F67" s="17" t="s">
        <v>199</v>
      </c>
      <c r="G67" s="1" t="s">
        <v>123</v>
      </c>
      <c r="H67" s="1" t="s">
        <v>140</v>
      </c>
      <c r="I67" s="1" t="s">
        <v>241</v>
      </c>
      <c r="J67" s="1" t="s">
        <v>126</v>
      </c>
      <c r="K67" s="1" t="s">
        <v>18</v>
      </c>
      <c r="L67" s="1" t="s">
        <v>8</v>
      </c>
      <c r="M67" s="1" t="s">
        <v>110</v>
      </c>
      <c r="N67" s="1" t="s">
        <v>242</v>
      </c>
      <c r="O67" s="21" t="s">
        <v>243</v>
      </c>
      <c r="P67" s="21" t="s">
        <v>72</v>
      </c>
    </row>
    <row r="68" spans="1:16" ht="156" x14ac:dyDescent="0.3">
      <c r="A68" s="34">
        <v>18</v>
      </c>
      <c r="B68" s="8" t="s">
        <v>244</v>
      </c>
      <c r="C68" s="8" t="s">
        <v>245</v>
      </c>
      <c r="D68" s="9">
        <v>25000000</v>
      </c>
      <c r="E68" s="10">
        <v>45762</v>
      </c>
      <c r="F68" s="8" t="s">
        <v>199</v>
      </c>
      <c r="G68" s="2" t="s">
        <v>123</v>
      </c>
      <c r="H68" s="2" t="s">
        <v>124</v>
      </c>
      <c r="I68" s="2" t="s">
        <v>125</v>
      </c>
      <c r="J68" s="2" t="s">
        <v>126</v>
      </c>
      <c r="K68" s="2" t="s">
        <v>18</v>
      </c>
      <c r="L68" s="2" t="s">
        <v>8</v>
      </c>
      <c r="M68" s="2" t="s">
        <v>246</v>
      </c>
      <c r="N68" s="2" t="s">
        <v>247</v>
      </c>
      <c r="O68" s="20" t="s">
        <v>248</v>
      </c>
      <c r="P68" s="20" t="s">
        <v>249</v>
      </c>
    </row>
    <row r="69" spans="1:16" ht="96" x14ac:dyDescent="0.3">
      <c r="A69" s="33">
        <v>19</v>
      </c>
      <c r="B69" s="17" t="s">
        <v>250</v>
      </c>
      <c r="C69" s="17" t="s">
        <v>251</v>
      </c>
      <c r="D69" s="18">
        <v>5000000</v>
      </c>
      <c r="E69" s="19">
        <v>45762</v>
      </c>
      <c r="F69" s="17" t="s">
        <v>199</v>
      </c>
      <c r="G69" s="1" t="s">
        <v>14</v>
      </c>
      <c r="H69" s="1" t="s">
        <v>57</v>
      </c>
      <c r="I69" s="1" t="s">
        <v>70</v>
      </c>
      <c r="J69" s="1" t="s">
        <v>17</v>
      </c>
      <c r="K69" s="1" t="s">
        <v>59</v>
      </c>
      <c r="L69" s="1" t="s">
        <v>71</v>
      </c>
      <c r="M69" s="1" t="s">
        <v>19</v>
      </c>
      <c r="N69" s="1"/>
      <c r="O69" s="21"/>
      <c r="P69" s="21" t="s">
        <v>72</v>
      </c>
    </row>
    <row r="70" spans="1:16" ht="96" x14ac:dyDescent="0.3">
      <c r="A70" s="34">
        <v>20</v>
      </c>
      <c r="B70" s="8" t="s">
        <v>252</v>
      </c>
      <c r="C70" s="8" t="s">
        <v>253</v>
      </c>
      <c r="D70" s="9">
        <v>5000000</v>
      </c>
      <c r="E70" s="10">
        <v>45762</v>
      </c>
      <c r="F70" s="8" t="s">
        <v>199</v>
      </c>
      <c r="G70" s="2" t="s">
        <v>14</v>
      </c>
      <c r="H70" s="2" t="s">
        <v>57</v>
      </c>
      <c r="I70" s="2" t="s">
        <v>70</v>
      </c>
      <c r="J70" s="2" t="s">
        <v>17</v>
      </c>
      <c r="K70" s="2" t="s">
        <v>59</v>
      </c>
      <c r="L70" s="2" t="s">
        <v>71</v>
      </c>
      <c r="M70" s="2" t="s">
        <v>19</v>
      </c>
      <c r="N70" s="2"/>
      <c r="O70" s="20"/>
      <c r="P70" s="20" t="s">
        <v>72</v>
      </c>
    </row>
    <row r="71" spans="1:16" ht="96" x14ac:dyDescent="0.3">
      <c r="A71" s="33">
        <v>21</v>
      </c>
      <c r="B71" s="17" t="s">
        <v>254</v>
      </c>
      <c r="C71" s="17" t="s">
        <v>255</v>
      </c>
      <c r="D71" s="18">
        <v>5000000</v>
      </c>
      <c r="E71" s="19">
        <v>45762</v>
      </c>
      <c r="F71" s="17" t="s">
        <v>199</v>
      </c>
      <c r="G71" s="1" t="s">
        <v>14</v>
      </c>
      <c r="H71" s="1" t="s">
        <v>57</v>
      </c>
      <c r="I71" s="1" t="s">
        <v>70</v>
      </c>
      <c r="J71" s="1" t="s">
        <v>17</v>
      </c>
      <c r="K71" s="1" t="s">
        <v>59</v>
      </c>
      <c r="L71" s="1" t="s">
        <v>71</v>
      </c>
      <c r="M71" s="1" t="s">
        <v>19</v>
      </c>
      <c r="N71" s="1"/>
      <c r="O71" s="21"/>
      <c r="P71" s="21" t="s">
        <v>72</v>
      </c>
    </row>
    <row r="72" spans="1:16" ht="120" x14ac:dyDescent="0.3">
      <c r="A72" s="34">
        <v>22</v>
      </c>
      <c r="B72" s="8" t="s">
        <v>256</v>
      </c>
      <c r="C72" s="8" t="s">
        <v>257</v>
      </c>
      <c r="D72" s="9">
        <v>5000000</v>
      </c>
      <c r="E72" s="10">
        <v>45762</v>
      </c>
      <c r="F72" s="8" t="s">
        <v>199</v>
      </c>
      <c r="G72" s="2" t="s">
        <v>14</v>
      </c>
      <c r="H72" s="2" t="s">
        <v>32</v>
      </c>
      <c r="I72" s="2" t="s">
        <v>33</v>
      </c>
      <c r="J72" s="2" t="s">
        <v>17</v>
      </c>
      <c r="K72" s="2" t="s">
        <v>18</v>
      </c>
      <c r="L72" s="2" t="s">
        <v>71</v>
      </c>
      <c r="M72" s="2" t="s">
        <v>258</v>
      </c>
      <c r="N72" s="2" t="s">
        <v>259</v>
      </c>
      <c r="O72" s="20" t="s">
        <v>67</v>
      </c>
      <c r="P72" s="20" t="s">
        <v>27</v>
      </c>
    </row>
    <row r="73" spans="1:16" ht="84" x14ac:dyDescent="0.3">
      <c r="A73" s="33">
        <v>23</v>
      </c>
      <c r="B73" s="17" t="s">
        <v>260</v>
      </c>
      <c r="C73" s="17" t="s">
        <v>261</v>
      </c>
      <c r="D73" s="18">
        <v>10000000</v>
      </c>
      <c r="E73" s="19">
        <v>45762</v>
      </c>
      <c r="F73" s="17" t="s">
        <v>199</v>
      </c>
      <c r="G73" s="1" t="s">
        <v>14</v>
      </c>
      <c r="H73" s="1" t="s">
        <v>32</v>
      </c>
      <c r="I73" s="1" t="s">
        <v>33</v>
      </c>
      <c r="J73" s="1" t="s">
        <v>17</v>
      </c>
      <c r="K73" s="1" t="s">
        <v>18</v>
      </c>
      <c r="L73" s="1" t="s">
        <v>34</v>
      </c>
      <c r="M73" s="1" t="s">
        <v>35</v>
      </c>
      <c r="N73" s="1" t="s">
        <v>262</v>
      </c>
      <c r="O73" s="21" t="s">
        <v>67</v>
      </c>
      <c r="P73" s="21" t="s">
        <v>27</v>
      </c>
    </row>
    <row r="74" spans="1:16" ht="120" x14ac:dyDescent="0.3">
      <c r="A74" s="34">
        <v>24</v>
      </c>
      <c r="B74" s="8" t="s">
        <v>263</v>
      </c>
      <c r="C74" s="8" t="s">
        <v>264</v>
      </c>
      <c r="D74" s="9">
        <v>400000000</v>
      </c>
      <c r="E74" s="10">
        <v>45762</v>
      </c>
      <c r="F74" s="8" t="s">
        <v>199</v>
      </c>
      <c r="G74" s="2" t="s">
        <v>14</v>
      </c>
      <c r="H74" s="2" t="s">
        <v>57</v>
      </c>
      <c r="I74" s="2" t="s">
        <v>105</v>
      </c>
      <c r="J74" s="2" t="s">
        <v>6</v>
      </c>
      <c r="K74" s="2" t="s">
        <v>18</v>
      </c>
      <c r="L74" s="2" t="s">
        <v>34</v>
      </c>
      <c r="M74" s="2" t="s">
        <v>110</v>
      </c>
      <c r="N74" s="2" t="s">
        <v>265</v>
      </c>
      <c r="O74" s="20" t="s">
        <v>266</v>
      </c>
      <c r="P74" s="20" t="s">
        <v>27</v>
      </c>
    </row>
    <row r="75" spans="1:16" ht="72" x14ac:dyDescent="0.3">
      <c r="A75" s="33">
        <v>25</v>
      </c>
      <c r="B75" s="17" t="s">
        <v>267</v>
      </c>
      <c r="C75" s="17" t="s">
        <v>268</v>
      </c>
      <c r="D75" s="18">
        <v>30000000</v>
      </c>
      <c r="E75" s="19">
        <v>45762</v>
      </c>
      <c r="F75" s="17" t="s">
        <v>199</v>
      </c>
      <c r="G75" s="1" t="s">
        <v>14</v>
      </c>
      <c r="H75" s="1" t="s">
        <v>32</v>
      </c>
      <c r="I75" s="1" t="s">
        <v>33</v>
      </c>
      <c r="J75" s="1" t="s">
        <v>17</v>
      </c>
      <c r="K75" s="1" t="s">
        <v>59</v>
      </c>
      <c r="L75" s="1" t="s">
        <v>19</v>
      </c>
      <c r="M75" s="1" t="s">
        <v>35</v>
      </c>
      <c r="N75" s="1" t="s">
        <v>20</v>
      </c>
      <c r="O75" s="21" t="s">
        <v>269</v>
      </c>
      <c r="P75" s="21" t="s">
        <v>22</v>
      </c>
    </row>
    <row r="76" spans="1:16" ht="72" x14ac:dyDescent="0.3">
      <c r="A76" s="34">
        <v>26</v>
      </c>
      <c r="B76" s="8" t="s">
        <v>270</v>
      </c>
      <c r="C76" s="8" t="s">
        <v>271</v>
      </c>
      <c r="D76" s="9">
        <v>10000000</v>
      </c>
      <c r="E76" s="10">
        <v>45762</v>
      </c>
      <c r="F76" s="8" t="s">
        <v>199</v>
      </c>
      <c r="G76" s="2" t="s">
        <v>14</v>
      </c>
      <c r="H76" s="2" t="s">
        <v>57</v>
      </c>
      <c r="I76" s="2" t="s">
        <v>105</v>
      </c>
      <c r="J76" s="2" t="s">
        <v>126</v>
      </c>
      <c r="K76" s="2" t="s">
        <v>18</v>
      </c>
      <c r="L76" s="2" t="s">
        <v>272</v>
      </c>
      <c r="M76" s="2" t="s">
        <v>246</v>
      </c>
      <c r="N76" s="2" t="s">
        <v>273</v>
      </c>
      <c r="O76" s="20" t="s">
        <v>274</v>
      </c>
      <c r="P76" s="20" t="s">
        <v>80</v>
      </c>
    </row>
    <row r="77" spans="1:16" ht="96" x14ac:dyDescent="0.3">
      <c r="A77" s="33">
        <v>27</v>
      </c>
      <c r="B77" s="17" t="s">
        <v>275</v>
      </c>
      <c r="C77" s="17" t="s">
        <v>276</v>
      </c>
      <c r="D77" s="18">
        <v>5000000</v>
      </c>
      <c r="E77" s="19">
        <v>45770</v>
      </c>
      <c r="F77" s="17" t="s">
        <v>199</v>
      </c>
      <c r="G77" s="1" t="s">
        <v>14</v>
      </c>
      <c r="H77" s="1" t="s">
        <v>57</v>
      </c>
      <c r="I77" s="1" t="s">
        <v>70</v>
      </c>
      <c r="J77" s="1" t="s">
        <v>17</v>
      </c>
      <c r="K77" s="1" t="s">
        <v>59</v>
      </c>
      <c r="L77" s="1" t="s">
        <v>71</v>
      </c>
      <c r="M77" s="1" t="s">
        <v>19</v>
      </c>
      <c r="N77" s="1"/>
      <c r="O77" s="21"/>
      <c r="P77" s="21" t="s">
        <v>72</v>
      </c>
    </row>
    <row r="78" spans="1:16" ht="72" x14ac:dyDescent="0.3">
      <c r="A78" s="34">
        <v>28</v>
      </c>
      <c r="B78" s="8" t="s">
        <v>277</v>
      </c>
      <c r="C78" s="8" t="s">
        <v>278</v>
      </c>
      <c r="D78" s="9">
        <v>100000000</v>
      </c>
      <c r="E78" s="10">
        <v>45771</v>
      </c>
      <c r="F78" s="8" t="s">
        <v>199</v>
      </c>
      <c r="G78" s="2" t="s">
        <v>14</v>
      </c>
      <c r="H78" s="2" t="s">
        <v>57</v>
      </c>
      <c r="I78" s="2" t="s">
        <v>105</v>
      </c>
      <c r="J78" s="2" t="s">
        <v>126</v>
      </c>
      <c r="K78" s="2" t="s">
        <v>59</v>
      </c>
      <c r="L78" s="2" t="s">
        <v>19</v>
      </c>
      <c r="M78" s="2" t="s">
        <v>35</v>
      </c>
      <c r="N78" s="2" t="s">
        <v>20</v>
      </c>
      <c r="O78" s="20" t="s">
        <v>279</v>
      </c>
      <c r="P78" s="20" t="s">
        <v>280</v>
      </c>
    </row>
    <row r="79" spans="1:16" ht="108" x14ac:dyDescent="0.3">
      <c r="A79" s="33">
        <v>29</v>
      </c>
      <c r="B79" s="17" t="s">
        <v>281</v>
      </c>
      <c r="C79" s="17" t="s">
        <v>282</v>
      </c>
      <c r="D79" s="18">
        <v>5000000</v>
      </c>
      <c r="E79" s="19">
        <v>45772</v>
      </c>
      <c r="F79" s="17" t="s">
        <v>199</v>
      </c>
      <c r="G79" s="1" t="s">
        <v>14</v>
      </c>
      <c r="H79" s="1" t="s">
        <v>15</v>
      </c>
      <c r="I79" s="1" t="s">
        <v>58</v>
      </c>
      <c r="J79" s="1" t="s">
        <v>17</v>
      </c>
      <c r="K79" s="1" t="s">
        <v>18</v>
      </c>
      <c r="L79" s="1" t="s">
        <v>192</v>
      </c>
      <c r="M79" s="1" t="s">
        <v>258</v>
      </c>
      <c r="N79" s="1" t="s">
        <v>283</v>
      </c>
      <c r="O79" s="21" t="s">
        <v>67</v>
      </c>
      <c r="P79" s="21" t="s">
        <v>27</v>
      </c>
    </row>
    <row r="80" spans="1:16" ht="96" x14ac:dyDescent="0.3">
      <c r="A80" s="34">
        <v>30</v>
      </c>
      <c r="B80" s="8" t="s">
        <v>284</v>
      </c>
      <c r="C80" s="8" t="s">
        <v>285</v>
      </c>
      <c r="D80" s="9">
        <v>30000000</v>
      </c>
      <c r="E80" s="10">
        <v>45772</v>
      </c>
      <c r="F80" s="8" t="s">
        <v>199</v>
      </c>
      <c r="G80" s="2" t="s">
        <v>14</v>
      </c>
      <c r="H80" s="2" t="s">
        <v>32</v>
      </c>
      <c r="I80" s="2" t="s">
        <v>33</v>
      </c>
      <c r="J80" s="2" t="s">
        <v>17</v>
      </c>
      <c r="K80" s="2" t="s">
        <v>18</v>
      </c>
      <c r="L80" s="2" t="s">
        <v>286</v>
      </c>
      <c r="M80" s="2" t="s">
        <v>35</v>
      </c>
      <c r="N80" s="2" t="s">
        <v>287</v>
      </c>
      <c r="O80" s="20" t="s">
        <v>288</v>
      </c>
      <c r="P80" s="20" t="s">
        <v>22</v>
      </c>
    </row>
    <row r="81" spans="1:16" ht="48" x14ac:dyDescent="0.3">
      <c r="A81" s="33">
        <v>31</v>
      </c>
      <c r="B81" s="17" t="s">
        <v>289</v>
      </c>
      <c r="C81" s="17" t="s">
        <v>290</v>
      </c>
      <c r="D81" s="18">
        <v>48871080</v>
      </c>
      <c r="E81" s="19">
        <v>45777</v>
      </c>
      <c r="F81" s="17" t="s">
        <v>199</v>
      </c>
      <c r="G81" s="1" t="s">
        <v>14</v>
      </c>
      <c r="H81" s="1" t="s">
        <v>165</v>
      </c>
      <c r="I81" s="1" t="s">
        <v>33</v>
      </c>
      <c r="J81" s="1" t="s">
        <v>17</v>
      </c>
      <c r="K81" s="1" t="s">
        <v>18</v>
      </c>
      <c r="L81" s="1" t="s">
        <v>19</v>
      </c>
      <c r="M81" s="1" t="s">
        <v>35</v>
      </c>
      <c r="N81" s="1" t="s">
        <v>20</v>
      </c>
      <c r="O81" s="21" t="s">
        <v>291</v>
      </c>
      <c r="P81" s="21" t="s">
        <v>37</v>
      </c>
    </row>
    <row r="82" spans="1:16" ht="48" x14ac:dyDescent="0.3">
      <c r="A82" s="34">
        <v>32</v>
      </c>
      <c r="B82" s="8" t="s">
        <v>292</v>
      </c>
      <c r="C82" s="8" t="s">
        <v>293</v>
      </c>
      <c r="D82" s="9">
        <v>5189250</v>
      </c>
      <c r="E82" s="10">
        <v>45777</v>
      </c>
      <c r="F82" s="8" t="s">
        <v>199</v>
      </c>
      <c r="G82" s="2" t="s">
        <v>14</v>
      </c>
      <c r="H82" s="2" t="s">
        <v>15</v>
      </c>
      <c r="I82" s="2" t="s">
        <v>33</v>
      </c>
      <c r="J82" s="2" t="s">
        <v>17</v>
      </c>
      <c r="K82" s="2" t="s">
        <v>18</v>
      </c>
      <c r="L82" s="2" t="s">
        <v>34</v>
      </c>
      <c r="M82" s="2" t="s">
        <v>9</v>
      </c>
      <c r="N82" s="2"/>
      <c r="O82" s="20" t="s">
        <v>67</v>
      </c>
      <c r="P82" s="20" t="s">
        <v>27</v>
      </c>
    </row>
    <row r="83" spans="1:16" ht="96" x14ac:dyDescent="0.3">
      <c r="A83" s="33">
        <v>33</v>
      </c>
      <c r="B83" s="11" t="s">
        <v>294</v>
      </c>
      <c r="C83" s="17" t="s">
        <v>295</v>
      </c>
      <c r="D83" s="18">
        <v>475970000</v>
      </c>
      <c r="E83" s="19">
        <v>45757</v>
      </c>
      <c r="F83" s="17" t="s">
        <v>199</v>
      </c>
      <c r="G83" s="1" t="s">
        <v>14</v>
      </c>
      <c r="H83" s="1" t="s">
        <v>32</v>
      </c>
      <c r="I83" s="1" t="s">
        <v>33</v>
      </c>
      <c r="J83" s="1" t="s">
        <v>17</v>
      </c>
      <c r="K83" s="1" t="s">
        <v>127</v>
      </c>
      <c r="L83" s="1" t="s">
        <v>128</v>
      </c>
      <c r="M83" s="1" t="s">
        <v>19</v>
      </c>
      <c r="N83" s="1" t="s">
        <v>296</v>
      </c>
      <c r="O83" s="21" t="s">
        <v>297</v>
      </c>
      <c r="P83" s="21" t="s">
        <v>22</v>
      </c>
    </row>
    <row r="84" spans="1:16" ht="108" x14ac:dyDescent="0.3">
      <c r="A84" s="34">
        <v>34</v>
      </c>
      <c r="B84" s="16" t="s">
        <v>298</v>
      </c>
      <c r="C84" s="8" t="s">
        <v>299</v>
      </c>
      <c r="D84" s="9">
        <v>520000000</v>
      </c>
      <c r="E84" s="10">
        <v>45758</v>
      </c>
      <c r="F84" s="8" t="s">
        <v>199</v>
      </c>
      <c r="G84" s="2" t="s">
        <v>123</v>
      </c>
      <c r="H84" s="2" t="s">
        <v>124</v>
      </c>
      <c r="I84" s="2" t="s">
        <v>58</v>
      </c>
      <c r="J84" s="2" t="s">
        <v>17</v>
      </c>
      <c r="K84" s="2" t="s">
        <v>59</v>
      </c>
      <c r="L84" s="2" t="s">
        <v>19</v>
      </c>
      <c r="M84" s="2" t="s">
        <v>19</v>
      </c>
      <c r="N84" s="2"/>
      <c r="O84" s="20" t="s">
        <v>67</v>
      </c>
      <c r="P84" s="20" t="s">
        <v>27</v>
      </c>
    </row>
    <row r="85" spans="1:16" ht="96" x14ac:dyDescent="0.3">
      <c r="A85" s="33">
        <v>35</v>
      </c>
      <c r="B85" s="17" t="s">
        <v>300</v>
      </c>
      <c r="C85" s="17" t="s">
        <v>301</v>
      </c>
      <c r="D85" s="18">
        <v>80203000</v>
      </c>
      <c r="E85" s="19">
        <v>45768</v>
      </c>
      <c r="F85" s="17" t="s">
        <v>199</v>
      </c>
      <c r="G85" s="1" t="s">
        <v>14</v>
      </c>
      <c r="H85" s="1" t="s">
        <v>32</v>
      </c>
      <c r="I85" s="1" t="s">
        <v>33</v>
      </c>
      <c r="J85" s="1" t="s">
        <v>17</v>
      </c>
      <c r="K85" s="1" t="s">
        <v>59</v>
      </c>
      <c r="L85" s="1" t="s">
        <v>109</v>
      </c>
      <c r="M85" s="1" t="s">
        <v>110</v>
      </c>
      <c r="N85" s="1" t="s">
        <v>111</v>
      </c>
      <c r="O85" s="21" t="s">
        <v>302</v>
      </c>
      <c r="P85" s="21" t="s">
        <v>303</v>
      </c>
    </row>
    <row r="86" spans="1:16" ht="60" x14ac:dyDescent="0.3">
      <c r="A86" s="34">
        <v>36</v>
      </c>
      <c r="B86" s="8" t="s">
        <v>304</v>
      </c>
      <c r="C86" s="8" t="s">
        <v>305</v>
      </c>
      <c r="D86" s="9">
        <v>38500000</v>
      </c>
      <c r="E86" s="10">
        <v>45758</v>
      </c>
      <c r="F86" s="8" t="s">
        <v>199</v>
      </c>
      <c r="G86" s="2" t="s">
        <v>3</v>
      </c>
      <c r="H86" s="2" t="s">
        <v>4</v>
      </c>
      <c r="I86" s="2" t="s">
        <v>25</v>
      </c>
      <c r="J86" s="2" t="s">
        <v>6</v>
      </c>
      <c r="K86" s="2" t="s">
        <v>7</v>
      </c>
      <c r="L86" s="2" t="s">
        <v>9</v>
      </c>
      <c r="M86" s="2" t="s">
        <v>9</v>
      </c>
      <c r="N86" s="2"/>
      <c r="O86" s="20" t="s">
        <v>64</v>
      </c>
      <c r="P86" s="20" t="s">
        <v>27</v>
      </c>
    </row>
    <row r="87" spans="1:16" ht="108" x14ac:dyDescent="0.3">
      <c r="A87" s="33">
        <v>37</v>
      </c>
      <c r="B87" s="17" t="s">
        <v>306</v>
      </c>
      <c r="C87" s="17" t="s">
        <v>307</v>
      </c>
      <c r="D87" s="18">
        <v>57200000</v>
      </c>
      <c r="E87" s="19">
        <v>45775</v>
      </c>
      <c r="F87" s="17" t="s">
        <v>199</v>
      </c>
      <c r="G87" s="1" t="s">
        <v>123</v>
      </c>
      <c r="H87" s="1" t="s">
        <v>124</v>
      </c>
      <c r="I87" s="1" t="s">
        <v>58</v>
      </c>
      <c r="J87" s="1" t="s">
        <v>17</v>
      </c>
      <c r="K87" s="1" t="s">
        <v>59</v>
      </c>
      <c r="L87" s="1" t="s">
        <v>19</v>
      </c>
      <c r="M87" s="1" t="s">
        <v>19</v>
      </c>
      <c r="N87" s="1"/>
      <c r="O87" s="21" t="s">
        <v>67</v>
      </c>
      <c r="P87" s="21" t="s">
        <v>27</v>
      </c>
    </row>
    <row r="88" spans="1:16" ht="108" x14ac:dyDescent="0.3">
      <c r="A88" s="33">
        <v>1</v>
      </c>
      <c r="B88" s="11" t="s">
        <v>308</v>
      </c>
      <c r="C88" s="17" t="s">
        <v>309</v>
      </c>
      <c r="D88" s="18">
        <v>11968665</v>
      </c>
      <c r="E88" s="19">
        <v>45782</v>
      </c>
      <c r="F88" s="17" t="s">
        <v>310</v>
      </c>
      <c r="G88" s="1" t="s">
        <v>14</v>
      </c>
      <c r="H88" s="1" t="s">
        <v>165</v>
      </c>
      <c r="I88" s="1" t="s">
        <v>58</v>
      </c>
      <c r="J88" s="1" t="s">
        <v>17</v>
      </c>
      <c r="K88" s="1" t="s">
        <v>59</v>
      </c>
      <c r="L88" s="1" t="s">
        <v>19</v>
      </c>
      <c r="M88" s="1" t="s">
        <v>9</v>
      </c>
      <c r="N88" s="1" t="s">
        <v>311</v>
      </c>
      <c r="O88" s="21" t="s">
        <v>312</v>
      </c>
      <c r="P88" s="21" t="s">
        <v>22</v>
      </c>
    </row>
    <row r="89" spans="1:16" ht="60" x14ac:dyDescent="0.3">
      <c r="A89" s="34">
        <v>2</v>
      </c>
      <c r="B89" s="16" t="s">
        <v>313</v>
      </c>
      <c r="C89" s="8" t="s">
        <v>314</v>
      </c>
      <c r="D89" s="9">
        <v>10460000</v>
      </c>
      <c r="E89" s="10">
        <v>45793</v>
      </c>
      <c r="F89" s="8" t="s">
        <v>310</v>
      </c>
      <c r="G89" s="2" t="s">
        <v>14</v>
      </c>
      <c r="H89" s="2" t="s">
        <v>32</v>
      </c>
      <c r="I89" s="2" t="s">
        <v>33</v>
      </c>
      <c r="J89" s="2" t="s">
        <v>17</v>
      </c>
      <c r="K89" s="2" t="s">
        <v>59</v>
      </c>
      <c r="L89" s="2" t="s">
        <v>109</v>
      </c>
      <c r="M89" s="2" t="s">
        <v>110</v>
      </c>
      <c r="N89" s="2" t="s">
        <v>111</v>
      </c>
      <c r="O89" s="20" t="s">
        <v>315</v>
      </c>
      <c r="P89" s="20" t="s">
        <v>37</v>
      </c>
    </row>
    <row r="90" spans="1:16" ht="60" x14ac:dyDescent="0.3">
      <c r="A90" s="33">
        <v>3</v>
      </c>
      <c r="B90" s="11" t="s">
        <v>316</v>
      </c>
      <c r="C90" s="17" t="s">
        <v>317</v>
      </c>
      <c r="D90" s="18">
        <v>10000000</v>
      </c>
      <c r="E90" s="19">
        <v>45807</v>
      </c>
      <c r="F90" s="17" t="s">
        <v>310</v>
      </c>
      <c r="G90" s="1" t="s">
        <v>14</v>
      </c>
      <c r="H90" s="1" t="s">
        <v>165</v>
      </c>
      <c r="I90" s="1" t="s">
        <v>166</v>
      </c>
      <c r="J90" s="1" t="s">
        <v>17</v>
      </c>
      <c r="K90" s="1" t="s">
        <v>18</v>
      </c>
      <c r="L90" s="1" t="s">
        <v>34</v>
      </c>
      <c r="M90" s="1" t="s">
        <v>9</v>
      </c>
      <c r="N90" s="1"/>
      <c r="O90" s="21" t="s">
        <v>177</v>
      </c>
      <c r="P90" s="21" t="s">
        <v>27</v>
      </c>
    </row>
    <row r="91" spans="1:16" ht="60" x14ac:dyDescent="0.3">
      <c r="A91" s="34">
        <v>4</v>
      </c>
      <c r="B91" s="16" t="s">
        <v>318</v>
      </c>
      <c r="C91" s="8" t="s">
        <v>319</v>
      </c>
      <c r="D91" s="9">
        <v>20160000</v>
      </c>
      <c r="E91" s="10">
        <v>45782</v>
      </c>
      <c r="F91" s="8" t="s">
        <v>310</v>
      </c>
      <c r="G91" s="2" t="s">
        <v>14</v>
      </c>
      <c r="H91" s="2" t="s">
        <v>165</v>
      </c>
      <c r="I91" s="2" t="s">
        <v>166</v>
      </c>
      <c r="J91" s="2" t="s">
        <v>17</v>
      </c>
      <c r="K91" s="2" t="s">
        <v>18</v>
      </c>
      <c r="L91" s="2" t="s">
        <v>192</v>
      </c>
      <c r="M91" s="2" t="s">
        <v>9</v>
      </c>
      <c r="N91" s="2"/>
      <c r="O91" s="20" t="s">
        <v>67</v>
      </c>
      <c r="P91" s="20" t="s">
        <v>27</v>
      </c>
    </row>
    <row r="92" spans="1:16" ht="60" x14ac:dyDescent="0.3">
      <c r="A92" s="33">
        <v>5</v>
      </c>
      <c r="B92" s="11" t="s">
        <v>320</v>
      </c>
      <c r="C92" s="17" t="s">
        <v>74</v>
      </c>
      <c r="D92" s="18">
        <v>5000000</v>
      </c>
      <c r="E92" s="19">
        <v>45782</v>
      </c>
      <c r="F92" s="17" t="s">
        <v>310</v>
      </c>
      <c r="G92" s="1" t="s">
        <v>14</v>
      </c>
      <c r="H92" s="1" t="s">
        <v>57</v>
      </c>
      <c r="I92" s="1" t="s">
        <v>70</v>
      </c>
      <c r="J92" s="1" t="s">
        <v>17</v>
      </c>
      <c r="K92" s="1" t="s">
        <v>59</v>
      </c>
      <c r="L92" s="1" t="s">
        <v>71</v>
      </c>
      <c r="M92" s="1" t="s">
        <v>19</v>
      </c>
      <c r="N92" s="1"/>
      <c r="O92" s="21"/>
      <c r="P92" s="21" t="s">
        <v>72</v>
      </c>
    </row>
    <row r="93" spans="1:16" ht="60" x14ac:dyDescent="0.3">
      <c r="A93" s="34">
        <v>6</v>
      </c>
      <c r="B93" s="16" t="s">
        <v>321</v>
      </c>
      <c r="C93" s="8" t="s">
        <v>74</v>
      </c>
      <c r="D93" s="9">
        <v>5000000</v>
      </c>
      <c r="E93" s="10">
        <v>45782</v>
      </c>
      <c r="F93" s="8" t="s">
        <v>310</v>
      </c>
      <c r="G93" s="2" t="s">
        <v>14</v>
      </c>
      <c r="H93" s="2" t="s">
        <v>57</v>
      </c>
      <c r="I93" s="2" t="s">
        <v>70</v>
      </c>
      <c r="J93" s="2" t="s">
        <v>17</v>
      </c>
      <c r="K93" s="2" t="s">
        <v>59</v>
      </c>
      <c r="L93" s="2" t="s">
        <v>71</v>
      </c>
      <c r="M93" s="2" t="s">
        <v>19</v>
      </c>
      <c r="N93" s="2"/>
      <c r="O93" s="20"/>
      <c r="P93" s="20" t="s">
        <v>72</v>
      </c>
    </row>
    <row r="94" spans="1:16" ht="72" x14ac:dyDescent="0.3">
      <c r="A94" s="33">
        <v>7</v>
      </c>
      <c r="B94" s="11" t="s">
        <v>322</v>
      </c>
      <c r="C94" s="17" t="s">
        <v>323</v>
      </c>
      <c r="D94" s="18">
        <v>50000000</v>
      </c>
      <c r="E94" s="19">
        <v>45799</v>
      </c>
      <c r="F94" s="17" t="s">
        <v>310</v>
      </c>
      <c r="G94" s="1" t="s">
        <v>14</v>
      </c>
      <c r="H94" s="1" t="s">
        <v>165</v>
      </c>
      <c r="I94" s="1" t="s">
        <v>166</v>
      </c>
      <c r="J94" s="1" t="s">
        <v>126</v>
      </c>
      <c r="K94" s="1" t="s">
        <v>18</v>
      </c>
      <c r="L94" s="1" t="s">
        <v>71</v>
      </c>
      <c r="M94" s="1" t="s">
        <v>110</v>
      </c>
      <c r="N94" s="1"/>
      <c r="O94" s="21" t="s">
        <v>324</v>
      </c>
      <c r="P94" s="21" t="s">
        <v>249</v>
      </c>
    </row>
    <row r="95" spans="1:16" ht="84" x14ac:dyDescent="0.3">
      <c r="A95" s="34">
        <v>8</v>
      </c>
      <c r="B95" s="16" t="s">
        <v>325</v>
      </c>
      <c r="C95" s="8" t="s">
        <v>326</v>
      </c>
      <c r="D95" s="9">
        <v>395176133</v>
      </c>
      <c r="E95" s="10">
        <v>45800</v>
      </c>
      <c r="F95" s="8" t="s">
        <v>310</v>
      </c>
      <c r="G95" s="2" t="s">
        <v>14</v>
      </c>
      <c r="H95" s="2" t="s">
        <v>57</v>
      </c>
      <c r="I95" s="2" t="s">
        <v>105</v>
      </c>
      <c r="J95" s="2" t="s">
        <v>126</v>
      </c>
      <c r="K95" s="2" t="s">
        <v>59</v>
      </c>
      <c r="L95" s="2" t="s">
        <v>19</v>
      </c>
      <c r="M95" s="2" t="s">
        <v>9</v>
      </c>
      <c r="N95" s="2"/>
      <c r="O95" s="20" t="s">
        <v>60</v>
      </c>
      <c r="P95" s="20" t="s">
        <v>61</v>
      </c>
    </row>
    <row r="96" spans="1:16" ht="60" x14ac:dyDescent="0.3">
      <c r="A96" s="33">
        <v>9</v>
      </c>
      <c r="B96" s="11" t="s">
        <v>327</v>
      </c>
      <c r="C96" s="17" t="s">
        <v>328</v>
      </c>
      <c r="D96" s="18">
        <v>25000000</v>
      </c>
      <c r="E96" s="19">
        <v>45804</v>
      </c>
      <c r="F96" s="17" t="s">
        <v>310</v>
      </c>
      <c r="G96" s="1" t="s">
        <v>123</v>
      </c>
      <c r="H96" s="1" t="s">
        <v>124</v>
      </c>
      <c r="I96" s="1" t="s">
        <v>241</v>
      </c>
      <c r="J96" s="1" t="s">
        <v>126</v>
      </c>
      <c r="K96" s="1" t="s">
        <v>18</v>
      </c>
      <c r="L96" s="1" t="s">
        <v>8</v>
      </c>
      <c r="M96" s="1" t="s">
        <v>329</v>
      </c>
      <c r="N96" s="1"/>
      <c r="O96" s="21" t="s">
        <v>184</v>
      </c>
      <c r="P96" s="21" t="s">
        <v>37</v>
      </c>
    </row>
    <row r="97" spans="1:16" ht="96" x14ac:dyDescent="0.3">
      <c r="A97" s="34">
        <v>10</v>
      </c>
      <c r="B97" s="16" t="s">
        <v>330</v>
      </c>
      <c r="C97" s="8" t="s">
        <v>301</v>
      </c>
      <c r="D97" s="9">
        <v>77500000</v>
      </c>
      <c r="E97" s="10">
        <v>45793</v>
      </c>
      <c r="F97" s="8" t="s">
        <v>310</v>
      </c>
      <c r="G97" s="2" t="s">
        <v>14</v>
      </c>
      <c r="H97" s="2" t="s">
        <v>32</v>
      </c>
      <c r="I97" s="2" t="s">
        <v>33</v>
      </c>
      <c r="J97" s="2" t="s">
        <v>17</v>
      </c>
      <c r="K97" s="2" t="s">
        <v>59</v>
      </c>
      <c r="L97" s="2" t="s">
        <v>153</v>
      </c>
      <c r="M97" s="2" t="s">
        <v>331</v>
      </c>
      <c r="N97" s="2"/>
      <c r="O97" s="20" t="s">
        <v>302</v>
      </c>
      <c r="P97" s="20" t="s">
        <v>303</v>
      </c>
    </row>
    <row r="98" spans="1:16" ht="96" x14ac:dyDescent="0.3">
      <c r="A98" s="33">
        <v>11</v>
      </c>
      <c r="B98" s="11" t="s">
        <v>332</v>
      </c>
      <c r="C98" s="17" t="s">
        <v>333</v>
      </c>
      <c r="D98" s="18">
        <v>2703000</v>
      </c>
      <c r="E98" s="19">
        <v>45793</v>
      </c>
      <c r="F98" s="17" t="s">
        <v>310</v>
      </c>
      <c r="G98" s="1" t="s">
        <v>14</v>
      </c>
      <c r="H98" s="1" t="s">
        <v>32</v>
      </c>
      <c r="I98" s="1" t="s">
        <v>33</v>
      </c>
      <c r="J98" s="1" t="s">
        <v>17</v>
      </c>
      <c r="K98" s="1" t="s">
        <v>59</v>
      </c>
      <c r="L98" s="1" t="s">
        <v>153</v>
      </c>
      <c r="M98" s="1" t="s">
        <v>331</v>
      </c>
      <c r="N98" s="1"/>
      <c r="O98" s="21" t="s">
        <v>302</v>
      </c>
      <c r="P98" s="21" t="s">
        <v>303</v>
      </c>
    </row>
    <row r="99" spans="1:16" ht="216" x14ac:dyDescent="0.3">
      <c r="A99" s="34">
        <v>12</v>
      </c>
      <c r="B99" s="16" t="s">
        <v>334</v>
      </c>
      <c r="C99" s="8" t="s">
        <v>335</v>
      </c>
      <c r="D99" s="9">
        <v>1007500000</v>
      </c>
      <c r="E99" s="10">
        <v>45793</v>
      </c>
      <c r="F99" s="8" t="s">
        <v>310</v>
      </c>
      <c r="G99" s="2" t="s">
        <v>14</v>
      </c>
      <c r="H99" s="2" t="s">
        <v>32</v>
      </c>
      <c r="I99" s="2" t="s">
        <v>33</v>
      </c>
      <c r="J99" s="2" t="s">
        <v>17</v>
      </c>
      <c r="K99" s="2" t="s">
        <v>59</v>
      </c>
      <c r="L99" s="2" t="s">
        <v>153</v>
      </c>
      <c r="M99" s="2" t="s">
        <v>331</v>
      </c>
      <c r="N99" s="2"/>
      <c r="O99" s="20"/>
      <c r="P99" s="20" t="s">
        <v>336</v>
      </c>
    </row>
    <row r="100" spans="1:16" ht="216" x14ac:dyDescent="0.3">
      <c r="A100" s="33">
        <v>13</v>
      </c>
      <c r="B100" s="17" t="s">
        <v>337</v>
      </c>
      <c r="C100" s="17" t="s">
        <v>338</v>
      </c>
      <c r="D100" s="18">
        <v>35139000</v>
      </c>
      <c r="E100" s="19">
        <v>45793</v>
      </c>
      <c r="F100" s="17" t="s">
        <v>310</v>
      </c>
      <c r="G100" s="1" t="s">
        <v>14</v>
      </c>
      <c r="H100" s="1" t="s">
        <v>32</v>
      </c>
      <c r="I100" s="1" t="s">
        <v>33</v>
      </c>
      <c r="J100" s="1" t="s">
        <v>17</v>
      </c>
      <c r="K100" s="1" t="s">
        <v>59</v>
      </c>
      <c r="L100" s="1" t="s">
        <v>153</v>
      </c>
      <c r="M100" s="1" t="s">
        <v>331</v>
      </c>
      <c r="N100" s="1"/>
      <c r="O100" s="21"/>
      <c r="P100" s="21" t="s">
        <v>336</v>
      </c>
    </row>
    <row r="101" spans="1:16" ht="216" x14ac:dyDescent="0.3">
      <c r="A101" s="34">
        <v>14</v>
      </c>
      <c r="B101" s="8" t="s">
        <v>339</v>
      </c>
      <c r="C101" s="8" t="s">
        <v>340</v>
      </c>
      <c r="D101" s="9">
        <v>5616000</v>
      </c>
      <c r="E101" s="10">
        <v>45800</v>
      </c>
      <c r="F101" s="8" t="s">
        <v>310</v>
      </c>
      <c r="G101" s="2" t="s">
        <v>14</v>
      </c>
      <c r="H101" s="2" t="s">
        <v>32</v>
      </c>
      <c r="I101" s="2" t="s">
        <v>33</v>
      </c>
      <c r="J101" s="2" t="s">
        <v>17</v>
      </c>
      <c r="K101" s="2" t="s">
        <v>59</v>
      </c>
      <c r="L101" s="2" t="s">
        <v>153</v>
      </c>
      <c r="M101" s="2" t="s">
        <v>331</v>
      </c>
      <c r="N101" s="2"/>
      <c r="O101" s="20"/>
      <c r="P101" s="20" t="s">
        <v>336</v>
      </c>
    </row>
    <row r="102" spans="1:16" ht="84" x14ac:dyDescent="0.3">
      <c r="A102" s="33">
        <v>15</v>
      </c>
      <c r="B102" s="17" t="s">
        <v>341</v>
      </c>
      <c r="C102" s="17" t="s">
        <v>342</v>
      </c>
      <c r="D102" s="18">
        <v>33264000</v>
      </c>
      <c r="E102" s="19">
        <v>45800</v>
      </c>
      <c r="F102" s="17" t="s">
        <v>310</v>
      </c>
      <c r="G102" s="1" t="s">
        <v>14</v>
      </c>
      <c r="H102" s="1" t="s">
        <v>32</v>
      </c>
      <c r="I102" s="1" t="s">
        <v>33</v>
      </c>
      <c r="J102" s="1" t="s">
        <v>17</v>
      </c>
      <c r="K102" s="1" t="s">
        <v>59</v>
      </c>
      <c r="L102" s="1" t="s">
        <v>109</v>
      </c>
      <c r="M102" s="1" t="s">
        <v>343</v>
      </c>
      <c r="N102" s="1" t="s">
        <v>344</v>
      </c>
      <c r="O102" s="21" t="s">
        <v>345</v>
      </c>
      <c r="P102" s="21" t="s">
        <v>346</v>
      </c>
    </row>
    <row r="103" spans="1:16" ht="108" x14ac:dyDescent="0.3">
      <c r="A103" s="34">
        <v>16</v>
      </c>
      <c r="B103" s="8" t="s">
        <v>347</v>
      </c>
      <c r="C103" s="8" t="s">
        <v>348</v>
      </c>
      <c r="D103" s="9">
        <v>22464000</v>
      </c>
      <c r="E103" s="10">
        <v>45800</v>
      </c>
      <c r="F103" s="8" t="s">
        <v>310</v>
      </c>
      <c r="G103" s="2" t="s">
        <v>14</v>
      </c>
      <c r="H103" s="2" t="s">
        <v>32</v>
      </c>
      <c r="I103" s="2" t="s">
        <v>33</v>
      </c>
      <c r="J103" s="2" t="s">
        <v>17</v>
      </c>
      <c r="K103" s="2" t="s">
        <v>59</v>
      </c>
      <c r="L103" s="2" t="s">
        <v>109</v>
      </c>
      <c r="M103" s="2" t="s">
        <v>343</v>
      </c>
      <c r="N103" s="2" t="s">
        <v>344</v>
      </c>
      <c r="O103" s="20" t="s">
        <v>345</v>
      </c>
      <c r="P103" s="20" t="s">
        <v>346</v>
      </c>
    </row>
    <row r="104" spans="1:16" ht="84" x14ac:dyDescent="0.3">
      <c r="A104" s="33">
        <v>17</v>
      </c>
      <c r="B104" s="17" t="s">
        <v>349</v>
      </c>
      <c r="C104" s="17" t="s">
        <v>350</v>
      </c>
      <c r="D104" s="18">
        <v>7776000</v>
      </c>
      <c r="E104" s="19">
        <v>45800</v>
      </c>
      <c r="F104" s="17" t="s">
        <v>310</v>
      </c>
      <c r="G104" s="1" t="s">
        <v>14</v>
      </c>
      <c r="H104" s="1" t="s">
        <v>32</v>
      </c>
      <c r="I104" s="1" t="s">
        <v>33</v>
      </c>
      <c r="J104" s="1" t="s">
        <v>17</v>
      </c>
      <c r="K104" s="1" t="s">
        <v>59</v>
      </c>
      <c r="L104" s="1" t="s">
        <v>109</v>
      </c>
      <c r="M104" s="1" t="s">
        <v>343</v>
      </c>
      <c r="N104" s="1" t="s">
        <v>344</v>
      </c>
      <c r="O104" s="21" t="s">
        <v>345</v>
      </c>
      <c r="P104" s="21" t="s">
        <v>346</v>
      </c>
    </row>
    <row r="105" spans="1:16" ht="108" x14ac:dyDescent="0.3">
      <c r="A105" s="34">
        <v>18</v>
      </c>
      <c r="B105" s="8" t="s">
        <v>351</v>
      </c>
      <c r="C105" s="8" t="s">
        <v>352</v>
      </c>
      <c r="D105" s="9">
        <v>24031700</v>
      </c>
      <c r="E105" s="10">
        <v>45784</v>
      </c>
      <c r="F105" s="8" t="s">
        <v>310</v>
      </c>
      <c r="G105" s="2" t="s">
        <v>14</v>
      </c>
      <c r="H105" s="2" t="s">
        <v>32</v>
      </c>
      <c r="I105" s="2" t="s">
        <v>33</v>
      </c>
      <c r="J105" s="2" t="s">
        <v>17</v>
      </c>
      <c r="K105" s="2" t="s">
        <v>59</v>
      </c>
      <c r="L105" s="2" t="s">
        <v>128</v>
      </c>
      <c r="M105" s="2" t="s">
        <v>19</v>
      </c>
      <c r="N105" s="2" t="s">
        <v>353</v>
      </c>
      <c r="O105" s="20" t="s">
        <v>297</v>
      </c>
      <c r="P105" s="20" t="s">
        <v>22</v>
      </c>
    </row>
    <row r="106" spans="1:16" ht="108" x14ac:dyDescent="0.3">
      <c r="A106" s="33">
        <v>1</v>
      </c>
      <c r="B106" s="11" t="s">
        <v>354</v>
      </c>
      <c r="C106" s="17" t="s">
        <v>355</v>
      </c>
      <c r="D106" s="18">
        <v>17000000</v>
      </c>
      <c r="E106" s="19">
        <v>45812</v>
      </c>
      <c r="F106" s="17" t="s">
        <v>356</v>
      </c>
      <c r="G106" s="1" t="s">
        <v>14</v>
      </c>
      <c r="H106" s="1" t="s">
        <v>32</v>
      </c>
      <c r="I106" s="1" t="s">
        <v>58</v>
      </c>
      <c r="J106" s="1" t="s">
        <v>17</v>
      </c>
      <c r="K106" s="1" t="s">
        <v>18</v>
      </c>
      <c r="L106" s="1" t="s">
        <v>128</v>
      </c>
      <c r="M106" s="1" t="s">
        <v>35</v>
      </c>
      <c r="N106" s="1" t="s">
        <v>357</v>
      </c>
      <c r="O106" s="21" t="s">
        <v>358</v>
      </c>
      <c r="P106" s="21" t="s">
        <v>113</v>
      </c>
    </row>
    <row r="107" spans="1:16" ht="60" x14ac:dyDescent="0.3">
      <c r="A107" s="34">
        <v>2</v>
      </c>
      <c r="B107" s="16" t="s">
        <v>359</v>
      </c>
      <c r="C107" s="8" t="s">
        <v>360</v>
      </c>
      <c r="D107" s="9">
        <v>11305700</v>
      </c>
      <c r="E107" s="10">
        <v>45828</v>
      </c>
      <c r="F107" s="8" t="s">
        <v>356</v>
      </c>
      <c r="G107" s="2" t="s">
        <v>14</v>
      </c>
      <c r="H107" s="2" t="s">
        <v>32</v>
      </c>
      <c r="I107" s="2" t="s">
        <v>33</v>
      </c>
      <c r="J107" s="2" t="s">
        <v>17</v>
      </c>
      <c r="K107" s="2" t="s">
        <v>59</v>
      </c>
      <c r="L107" s="2" t="s">
        <v>8</v>
      </c>
      <c r="M107" s="2" t="s">
        <v>19</v>
      </c>
      <c r="N107" s="2"/>
      <c r="O107" s="20" t="s">
        <v>361</v>
      </c>
      <c r="P107" s="20" t="s">
        <v>361</v>
      </c>
    </row>
    <row r="108" spans="1:16" ht="108" x14ac:dyDescent="0.3">
      <c r="A108" s="33">
        <v>3</v>
      </c>
      <c r="B108" s="11" t="s">
        <v>362</v>
      </c>
      <c r="C108" s="17" t="s">
        <v>363</v>
      </c>
      <c r="D108" s="18">
        <v>150000000</v>
      </c>
      <c r="E108" s="19">
        <v>45811</v>
      </c>
      <c r="F108" s="17" t="s">
        <v>356</v>
      </c>
      <c r="G108" s="1" t="s">
        <v>123</v>
      </c>
      <c r="H108" s="1" t="s">
        <v>140</v>
      </c>
      <c r="I108" s="1" t="s">
        <v>241</v>
      </c>
      <c r="J108" s="1" t="s">
        <v>126</v>
      </c>
      <c r="K108" s="1" t="s">
        <v>127</v>
      </c>
      <c r="L108" s="1" t="s">
        <v>128</v>
      </c>
      <c r="M108" s="1" t="s">
        <v>19</v>
      </c>
      <c r="N108" s="1" t="s">
        <v>364</v>
      </c>
      <c r="O108" s="21" t="s">
        <v>365</v>
      </c>
      <c r="P108" s="21" t="s">
        <v>37</v>
      </c>
    </row>
    <row r="109" spans="1:16" ht="108" x14ac:dyDescent="0.3">
      <c r="A109" s="34">
        <v>4</v>
      </c>
      <c r="B109" s="16" t="s">
        <v>366</v>
      </c>
      <c r="C109" s="8" t="s">
        <v>367</v>
      </c>
      <c r="D109" s="9">
        <v>75000000</v>
      </c>
      <c r="E109" s="10">
        <v>45811</v>
      </c>
      <c r="F109" s="8" t="s">
        <v>356</v>
      </c>
      <c r="G109" s="2" t="s">
        <v>14</v>
      </c>
      <c r="H109" s="2" t="s">
        <v>57</v>
      </c>
      <c r="I109" s="2" t="s">
        <v>105</v>
      </c>
      <c r="J109" s="2" t="s">
        <v>126</v>
      </c>
      <c r="K109" s="2" t="s">
        <v>127</v>
      </c>
      <c r="L109" s="2" t="s">
        <v>128</v>
      </c>
      <c r="M109" s="2" t="s">
        <v>19</v>
      </c>
      <c r="N109" s="2" t="s">
        <v>368</v>
      </c>
      <c r="O109" s="20" t="s">
        <v>369</v>
      </c>
      <c r="P109" s="20" t="s">
        <v>37</v>
      </c>
    </row>
    <row r="110" spans="1:16" ht="48" x14ac:dyDescent="0.3">
      <c r="A110" s="33">
        <v>5</v>
      </c>
      <c r="B110" s="11" t="s">
        <v>370</v>
      </c>
      <c r="C110" s="17" t="s">
        <v>371</v>
      </c>
      <c r="D110" s="18">
        <v>5000000</v>
      </c>
      <c r="E110" s="19">
        <v>45812</v>
      </c>
      <c r="F110" s="17" t="s">
        <v>356</v>
      </c>
      <c r="G110" s="1" t="s">
        <v>14</v>
      </c>
      <c r="H110" s="1" t="s">
        <v>57</v>
      </c>
      <c r="I110" s="1" t="s">
        <v>105</v>
      </c>
      <c r="J110" s="1" t="s">
        <v>17</v>
      </c>
      <c r="K110" s="1" t="s">
        <v>18</v>
      </c>
      <c r="L110" s="1" t="s">
        <v>8</v>
      </c>
      <c r="M110" s="1" t="s">
        <v>246</v>
      </c>
      <c r="N110" s="1" t="s">
        <v>372</v>
      </c>
      <c r="O110" s="21" t="s">
        <v>373</v>
      </c>
      <c r="P110" s="21" t="s">
        <v>22</v>
      </c>
    </row>
    <row r="111" spans="1:16" ht="108" x14ac:dyDescent="0.3">
      <c r="A111" s="34">
        <v>6</v>
      </c>
      <c r="B111" s="16" t="s">
        <v>374</v>
      </c>
      <c r="C111" s="8" t="s">
        <v>375</v>
      </c>
      <c r="D111" s="9">
        <v>36600000</v>
      </c>
      <c r="E111" s="10">
        <v>45838</v>
      </c>
      <c r="F111" s="8" t="s">
        <v>356</v>
      </c>
      <c r="G111" s="2" t="s">
        <v>14</v>
      </c>
      <c r="H111" s="2" t="s">
        <v>32</v>
      </c>
      <c r="I111" s="2" t="s">
        <v>58</v>
      </c>
      <c r="J111" s="2" t="s">
        <v>17</v>
      </c>
      <c r="K111" s="2" t="s">
        <v>18</v>
      </c>
      <c r="L111" s="2" t="s">
        <v>376</v>
      </c>
      <c r="M111" s="2" t="s">
        <v>343</v>
      </c>
      <c r="N111" s="2" t="s">
        <v>377</v>
      </c>
      <c r="O111" s="20" t="s">
        <v>64</v>
      </c>
      <c r="P111" s="20" t="s">
        <v>27</v>
      </c>
    </row>
    <row r="112" spans="1:16" ht="108" x14ac:dyDescent="0.3">
      <c r="A112" s="33">
        <v>7</v>
      </c>
      <c r="B112" s="11" t="s">
        <v>378</v>
      </c>
      <c r="C112" s="17" t="s">
        <v>379</v>
      </c>
      <c r="D112" s="18">
        <v>36960000</v>
      </c>
      <c r="E112" s="19">
        <v>45838</v>
      </c>
      <c r="F112" s="17" t="s">
        <v>356</v>
      </c>
      <c r="G112" s="1" t="s">
        <v>14</v>
      </c>
      <c r="H112" s="1" t="s">
        <v>32</v>
      </c>
      <c r="I112" s="1" t="s">
        <v>58</v>
      </c>
      <c r="J112" s="1" t="s">
        <v>17</v>
      </c>
      <c r="K112" s="1" t="s">
        <v>18</v>
      </c>
      <c r="L112" s="1" t="s">
        <v>380</v>
      </c>
      <c r="M112" s="1" t="s">
        <v>343</v>
      </c>
      <c r="N112" s="1" t="s">
        <v>381</v>
      </c>
      <c r="O112" s="21" t="s">
        <v>382</v>
      </c>
      <c r="P112" s="21" t="s">
        <v>280</v>
      </c>
    </row>
    <row r="113" spans="1:16" ht="108" x14ac:dyDescent="0.3">
      <c r="A113" s="34">
        <v>8</v>
      </c>
      <c r="B113" s="16" t="s">
        <v>383</v>
      </c>
      <c r="C113" s="8" t="s">
        <v>384</v>
      </c>
      <c r="D113" s="9">
        <v>36600000</v>
      </c>
      <c r="E113" s="10">
        <v>45838</v>
      </c>
      <c r="F113" s="8" t="s">
        <v>356</v>
      </c>
      <c r="G113" s="2" t="s">
        <v>14</v>
      </c>
      <c r="H113" s="2" t="s">
        <v>32</v>
      </c>
      <c r="I113" s="2" t="s">
        <v>58</v>
      </c>
      <c r="J113" s="2" t="s">
        <v>17</v>
      </c>
      <c r="K113" s="2" t="s">
        <v>18</v>
      </c>
      <c r="L113" s="2" t="s">
        <v>385</v>
      </c>
      <c r="M113" s="2" t="s">
        <v>386</v>
      </c>
      <c r="N113" s="2" t="s">
        <v>387</v>
      </c>
      <c r="O113" s="20" t="s">
        <v>67</v>
      </c>
      <c r="P113" s="20" t="s">
        <v>27</v>
      </c>
    </row>
    <row r="114" spans="1:16" ht="108" x14ac:dyDescent="0.3">
      <c r="A114" s="33">
        <v>9</v>
      </c>
      <c r="B114" s="11" t="s">
        <v>388</v>
      </c>
      <c r="C114" s="17" t="s">
        <v>389</v>
      </c>
      <c r="D114" s="18">
        <v>297000</v>
      </c>
      <c r="E114" s="19">
        <v>45813</v>
      </c>
      <c r="F114" s="17" t="s">
        <v>356</v>
      </c>
      <c r="G114" s="1" t="s">
        <v>14</v>
      </c>
      <c r="H114" s="1" t="s">
        <v>32</v>
      </c>
      <c r="I114" s="1" t="s">
        <v>33</v>
      </c>
      <c r="J114" s="1" t="s">
        <v>17</v>
      </c>
      <c r="K114" s="1" t="s">
        <v>59</v>
      </c>
      <c r="L114" s="1" t="s">
        <v>109</v>
      </c>
      <c r="M114" s="1" t="s">
        <v>110</v>
      </c>
      <c r="N114" s="1" t="s">
        <v>111</v>
      </c>
      <c r="O114" s="21" t="s">
        <v>302</v>
      </c>
      <c r="P114" s="21" t="s">
        <v>303</v>
      </c>
    </row>
    <row r="115" spans="1:16" ht="132" x14ac:dyDescent="0.3">
      <c r="A115" s="34">
        <v>10</v>
      </c>
      <c r="B115" s="8" t="s">
        <v>390</v>
      </c>
      <c r="C115" s="8" t="s">
        <v>391</v>
      </c>
      <c r="D115" s="9">
        <v>3861000</v>
      </c>
      <c r="E115" s="10">
        <v>45826</v>
      </c>
      <c r="F115" s="8" t="s">
        <v>356</v>
      </c>
      <c r="G115" s="2" t="s">
        <v>14</v>
      </c>
      <c r="H115" s="2" t="s">
        <v>32</v>
      </c>
      <c r="I115" s="2" t="s">
        <v>33</v>
      </c>
      <c r="J115" s="2" t="s">
        <v>17</v>
      </c>
      <c r="K115" s="2" t="s">
        <v>127</v>
      </c>
      <c r="L115" s="2" t="s">
        <v>128</v>
      </c>
      <c r="M115" s="2" t="s">
        <v>19</v>
      </c>
      <c r="N115" s="2" t="s">
        <v>353</v>
      </c>
      <c r="O115" s="20" t="s">
        <v>297</v>
      </c>
      <c r="P115" s="20" t="s">
        <v>22</v>
      </c>
    </row>
    <row r="116" spans="1:16" ht="96" x14ac:dyDescent="0.3">
      <c r="A116" s="33">
        <v>11</v>
      </c>
      <c r="B116" s="17" t="s">
        <v>392</v>
      </c>
      <c r="C116" s="17" t="s">
        <v>393</v>
      </c>
      <c r="D116" s="18">
        <v>2471040</v>
      </c>
      <c r="E116" s="19">
        <v>45834</v>
      </c>
      <c r="F116" s="17" t="s">
        <v>356</v>
      </c>
      <c r="G116" s="1" t="s">
        <v>14</v>
      </c>
      <c r="H116" s="1" t="s">
        <v>32</v>
      </c>
      <c r="I116" s="1" t="s">
        <v>33</v>
      </c>
      <c r="J116" s="1" t="s">
        <v>17</v>
      </c>
      <c r="K116" s="1" t="s">
        <v>59</v>
      </c>
      <c r="L116" s="1" t="s">
        <v>109</v>
      </c>
      <c r="M116" s="1" t="s">
        <v>394</v>
      </c>
      <c r="N116" s="1" t="s">
        <v>395</v>
      </c>
      <c r="O116" s="21" t="s">
        <v>345</v>
      </c>
      <c r="P116" s="21" t="s">
        <v>346</v>
      </c>
    </row>
    <row r="117" spans="1:16" ht="72" x14ac:dyDescent="0.3">
      <c r="A117" s="33">
        <v>1</v>
      </c>
      <c r="B117" s="11" t="s">
        <v>396</v>
      </c>
      <c r="C117" s="17" t="s">
        <v>397</v>
      </c>
      <c r="D117" s="18">
        <v>15847000</v>
      </c>
      <c r="E117" s="19">
        <v>45856</v>
      </c>
      <c r="F117" s="17" t="s">
        <v>398</v>
      </c>
      <c r="G117" s="1" t="s">
        <v>3</v>
      </c>
      <c r="H117" s="1" t="s">
        <v>4</v>
      </c>
      <c r="I117" s="1" t="s">
        <v>5</v>
      </c>
      <c r="J117" s="1" t="s">
        <v>6</v>
      </c>
      <c r="K117" s="1" t="s">
        <v>7</v>
      </c>
      <c r="L117" s="1" t="s">
        <v>399</v>
      </c>
      <c r="M117" s="1" t="s">
        <v>9</v>
      </c>
      <c r="N117" s="1"/>
      <c r="O117" s="21" t="s">
        <v>26</v>
      </c>
      <c r="P117" s="21" t="s">
        <v>27</v>
      </c>
    </row>
    <row r="118" spans="1:16" ht="60" x14ac:dyDescent="0.3">
      <c r="A118" s="34">
        <v>2</v>
      </c>
      <c r="B118" s="16" t="s">
        <v>400</v>
      </c>
      <c r="C118" s="8" t="s">
        <v>401</v>
      </c>
      <c r="D118" s="9">
        <v>19552600</v>
      </c>
      <c r="E118" s="10">
        <v>45863</v>
      </c>
      <c r="F118" s="8" t="s">
        <v>398</v>
      </c>
      <c r="G118" s="2" t="s">
        <v>14</v>
      </c>
      <c r="H118" s="2" t="s">
        <v>57</v>
      </c>
      <c r="I118" s="2" t="s">
        <v>105</v>
      </c>
      <c r="J118" s="2" t="s">
        <v>17</v>
      </c>
      <c r="K118" s="2" t="s">
        <v>18</v>
      </c>
      <c r="L118" s="2" t="s">
        <v>8</v>
      </c>
      <c r="M118" s="2" t="s">
        <v>9</v>
      </c>
      <c r="N118" s="2"/>
      <c r="O118" s="20" t="s">
        <v>361</v>
      </c>
      <c r="P118" s="20" t="s">
        <v>361</v>
      </c>
    </row>
    <row r="119" spans="1:16" ht="72" x14ac:dyDescent="0.3">
      <c r="A119" s="33">
        <v>3</v>
      </c>
      <c r="B119" s="11" t="s">
        <v>402</v>
      </c>
      <c r="C119" s="17" t="s">
        <v>403</v>
      </c>
      <c r="D119" s="18">
        <v>50000000</v>
      </c>
      <c r="E119" s="19">
        <v>45839</v>
      </c>
      <c r="F119" s="17" t="s">
        <v>398</v>
      </c>
      <c r="G119" s="1" t="s">
        <v>14</v>
      </c>
      <c r="H119" s="1" t="s">
        <v>32</v>
      </c>
      <c r="I119" s="1" t="s">
        <v>33</v>
      </c>
      <c r="J119" s="1" t="s">
        <v>17</v>
      </c>
      <c r="K119" s="1" t="s">
        <v>18</v>
      </c>
      <c r="L119" s="1" t="s">
        <v>153</v>
      </c>
      <c r="M119" s="1" t="s">
        <v>35</v>
      </c>
      <c r="N119" s="1" t="s">
        <v>404</v>
      </c>
      <c r="O119" s="21" t="s">
        <v>405</v>
      </c>
      <c r="P119" s="21" t="s">
        <v>236</v>
      </c>
    </row>
    <row r="120" spans="1:16" ht="96" x14ac:dyDescent="0.3">
      <c r="A120" s="34">
        <v>4</v>
      </c>
      <c r="B120" s="16" t="s">
        <v>406</v>
      </c>
      <c r="C120" s="8" t="s">
        <v>407</v>
      </c>
      <c r="D120" s="9">
        <v>15000000</v>
      </c>
      <c r="E120" s="10">
        <v>45839</v>
      </c>
      <c r="F120" s="8" t="s">
        <v>398</v>
      </c>
      <c r="G120" s="2" t="s">
        <v>14</v>
      </c>
      <c r="H120" s="2" t="s">
        <v>57</v>
      </c>
      <c r="I120" s="2" t="s">
        <v>105</v>
      </c>
      <c r="J120" s="2" t="s">
        <v>17</v>
      </c>
      <c r="K120" s="2" t="s">
        <v>18</v>
      </c>
      <c r="L120" s="2" t="s">
        <v>380</v>
      </c>
      <c r="M120" s="2" t="s">
        <v>35</v>
      </c>
      <c r="N120" s="2" t="s">
        <v>408</v>
      </c>
      <c r="O120" s="20" t="s">
        <v>177</v>
      </c>
      <c r="P120" s="20" t="s">
        <v>27</v>
      </c>
    </row>
    <row r="121" spans="1:16" ht="60" x14ac:dyDescent="0.3">
      <c r="A121" s="33">
        <v>5</v>
      </c>
      <c r="B121" s="11" t="s">
        <v>409</v>
      </c>
      <c r="C121" s="17" t="s">
        <v>410</v>
      </c>
      <c r="D121" s="18">
        <v>22527450</v>
      </c>
      <c r="E121" s="19">
        <v>45845</v>
      </c>
      <c r="F121" s="17" t="s">
        <v>398</v>
      </c>
      <c r="G121" s="1" t="s">
        <v>3</v>
      </c>
      <c r="H121" s="1" t="s">
        <v>4</v>
      </c>
      <c r="I121" s="1" t="s">
        <v>5</v>
      </c>
      <c r="J121" s="1" t="s">
        <v>6</v>
      </c>
      <c r="K121" s="1" t="s">
        <v>7</v>
      </c>
      <c r="L121" s="1" t="s">
        <v>19</v>
      </c>
      <c r="M121" s="1" t="s">
        <v>9</v>
      </c>
      <c r="N121" s="1" t="s">
        <v>411</v>
      </c>
      <c r="O121" s="21" t="s">
        <v>64</v>
      </c>
      <c r="P121" s="21" t="s">
        <v>27</v>
      </c>
    </row>
    <row r="122" spans="1:16" ht="48" x14ac:dyDescent="0.3">
      <c r="A122" s="34">
        <v>6</v>
      </c>
      <c r="B122" s="16" t="s">
        <v>412</v>
      </c>
      <c r="C122" s="8" t="s">
        <v>413</v>
      </c>
      <c r="D122" s="9">
        <v>75000000</v>
      </c>
      <c r="E122" s="10">
        <v>45845</v>
      </c>
      <c r="F122" s="8" t="s">
        <v>398</v>
      </c>
      <c r="G122" s="2" t="s">
        <v>14</v>
      </c>
      <c r="H122" s="2" t="s">
        <v>57</v>
      </c>
      <c r="I122" s="2" t="s">
        <v>105</v>
      </c>
      <c r="J122" s="2" t="s">
        <v>126</v>
      </c>
      <c r="K122" s="2" t="s">
        <v>127</v>
      </c>
      <c r="L122" s="2" t="s">
        <v>19</v>
      </c>
      <c r="M122" s="2" t="s">
        <v>19</v>
      </c>
      <c r="N122" s="2" t="s">
        <v>414</v>
      </c>
      <c r="O122" s="20" t="s">
        <v>369</v>
      </c>
      <c r="P122" s="20" t="s">
        <v>37</v>
      </c>
    </row>
    <row r="123" spans="1:16" ht="108" x14ac:dyDescent="0.3">
      <c r="A123" s="33">
        <v>7</v>
      </c>
      <c r="B123" s="11" t="s">
        <v>415</v>
      </c>
      <c r="C123" s="17" t="s">
        <v>416</v>
      </c>
      <c r="D123" s="18">
        <v>30240000</v>
      </c>
      <c r="E123" s="19">
        <v>45848</v>
      </c>
      <c r="F123" s="17" t="s">
        <v>398</v>
      </c>
      <c r="G123" s="1" t="s">
        <v>14</v>
      </c>
      <c r="H123" s="1" t="s">
        <v>32</v>
      </c>
      <c r="I123" s="1" t="s">
        <v>58</v>
      </c>
      <c r="J123" s="1" t="s">
        <v>17</v>
      </c>
      <c r="K123" s="1" t="s">
        <v>18</v>
      </c>
      <c r="L123" s="1" t="s">
        <v>34</v>
      </c>
      <c r="M123" s="1" t="s">
        <v>9</v>
      </c>
      <c r="N123" s="1" t="s">
        <v>417</v>
      </c>
      <c r="O123" s="21" t="s">
        <v>418</v>
      </c>
      <c r="P123" s="21" t="s">
        <v>27</v>
      </c>
    </row>
    <row r="124" spans="1:16" ht="156" x14ac:dyDescent="0.3">
      <c r="A124" s="34">
        <v>8</v>
      </c>
      <c r="B124" s="16" t="s">
        <v>419</v>
      </c>
      <c r="C124" s="8" t="s">
        <v>420</v>
      </c>
      <c r="D124" s="9">
        <v>15750000</v>
      </c>
      <c r="E124" s="10">
        <v>45860</v>
      </c>
      <c r="F124" s="8" t="s">
        <v>398</v>
      </c>
      <c r="G124" s="2" t="s">
        <v>123</v>
      </c>
      <c r="H124" s="2" t="s">
        <v>124</v>
      </c>
      <c r="I124" s="2" t="s">
        <v>125</v>
      </c>
      <c r="J124" s="2" t="s">
        <v>126</v>
      </c>
      <c r="K124" s="2" t="s">
        <v>18</v>
      </c>
      <c r="L124" s="2" t="s">
        <v>192</v>
      </c>
      <c r="M124" s="2" t="s">
        <v>421</v>
      </c>
      <c r="N124" s="2" t="s">
        <v>422</v>
      </c>
      <c r="O124" s="20" t="s">
        <v>67</v>
      </c>
      <c r="P124" s="20" t="s">
        <v>27</v>
      </c>
    </row>
    <row r="125" spans="1:16" ht="108" x14ac:dyDescent="0.3">
      <c r="A125" s="33">
        <v>9</v>
      </c>
      <c r="B125" s="11" t="s">
        <v>423</v>
      </c>
      <c r="C125" s="17" t="s">
        <v>424</v>
      </c>
      <c r="D125" s="18">
        <v>30240000</v>
      </c>
      <c r="E125" s="19">
        <v>45867</v>
      </c>
      <c r="F125" s="17" t="s">
        <v>398</v>
      </c>
      <c r="G125" s="1" t="s">
        <v>14</v>
      </c>
      <c r="H125" s="1" t="s">
        <v>32</v>
      </c>
      <c r="I125" s="1" t="s">
        <v>58</v>
      </c>
      <c r="J125" s="1" t="s">
        <v>17</v>
      </c>
      <c r="K125" s="1" t="s">
        <v>18</v>
      </c>
      <c r="L125" s="1" t="s">
        <v>34</v>
      </c>
      <c r="M125" s="1" t="s">
        <v>9</v>
      </c>
      <c r="N125" s="1" t="s">
        <v>417</v>
      </c>
      <c r="O125" s="21" t="s">
        <v>418</v>
      </c>
      <c r="P125" s="21" t="s">
        <v>27</v>
      </c>
    </row>
    <row r="126" spans="1:16" ht="108" x14ac:dyDescent="0.3">
      <c r="A126" s="34">
        <v>10</v>
      </c>
      <c r="B126" s="8" t="s">
        <v>425</v>
      </c>
      <c r="C126" s="8" t="s">
        <v>426</v>
      </c>
      <c r="D126" s="9">
        <v>10080000</v>
      </c>
      <c r="E126" s="10">
        <v>45869</v>
      </c>
      <c r="F126" s="8" t="s">
        <v>398</v>
      </c>
      <c r="G126" s="2" t="s">
        <v>14</v>
      </c>
      <c r="H126" s="2" t="s">
        <v>32</v>
      </c>
      <c r="I126" s="2" t="s">
        <v>58</v>
      </c>
      <c r="J126" s="2" t="s">
        <v>17</v>
      </c>
      <c r="K126" s="2" t="s">
        <v>18</v>
      </c>
      <c r="L126" s="2" t="s">
        <v>34</v>
      </c>
      <c r="M126" s="2" t="s">
        <v>9</v>
      </c>
      <c r="N126" s="2" t="s">
        <v>417</v>
      </c>
      <c r="O126" s="20" t="s">
        <v>36</v>
      </c>
      <c r="P126" s="20" t="s">
        <v>37</v>
      </c>
    </row>
    <row r="127" spans="1:16" ht="60" x14ac:dyDescent="0.3">
      <c r="A127" s="33">
        <v>11</v>
      </c>
      <c r="B127" s="17" t="s">
        <v>427</v>
      </c>
      <c r="C127" s="17" t="s">
        <v>428</v>
      </c>
      <c r="D127" s="18">
        <v>77000000</v>
      </c>
      <c r="E127" s="19">
        <v>45855</v>
      </c>
      <c r="F127" s="17" t="s">
        <v>398</v>
      </c>
      <c r="G127" s="1" t="s">
        <v>3</v>
      </c>
      <c r="H127" s="1" t="s">
        <v>4</v>
      </c>
      <c r="I127" s="1" t="s">
        <v>5</v>
      </c>
      <c r="J127" s="1" t="s">
        <v>6</v>
      </c>
      <c r="K127" s="1" t="s">
        <v>7</v>
      </c>
      <c r="L127" s="1" t="s">
        <v>34</v>
      </c>
      <c r="M127" s="1" t="s">
        <v>9</v>
      </c>
      <c r="N127" s="1" t="s">
        <v>417</v>
      </c>
      <c r="O127" s="21" t="s">
        <v>67</v>
      </c>
      <c r="P127" s="21" t="s">
        <v>27</v>
      </c>
    </row>
    <row r="128" spans="1:16" ht="60" x14ac:dyDescent="0.3">
      <c r="A128" s="34">
        <v>12</v>
      </c>
      <c r="B128" s="5" t="s">
        <v>429</v>
      </c>
      <c r="C128" s="5" t="s">
        <v>430</v>
      </c>
      <c r="D128" s="6">
        <v>74500000</v>
      </c>
      <c r="E128" s="7">
        <v>45855</v>
      </c>
      <c r="F128" s="8" t="s">
        <v>398</v>
      </c>
      <c r="G128" s="2" t="s">
        <v>3</v>
      </c>
      <c r="H128" s="2" t="s">
        <v>4</v>
      </c>
      <c r="I128" s="2" t="s">
        <v>5</v>
      </c>
      <c r="J128" s="2" t="s">
        <v>6</v>
      </c>
      <c r="K128" s="2" t="s">
        <v>7</v>
      </c>
      <c r="L128" s="2" t="s">
        <v>34</v>
      </c>
      <c r="M128" s="2" t="s">
        <v>9</v>
      </c>
      <c r="N128" s="2" t="s">
        <v>417</v>
      </c>
      <c r="O128" s="20" t="s">
        <v>67</v>
      </c>
      <c r="P128" s="20" t="s">
        <v>27</v>
      </c>
    </row>
    <row r="129" spans="1:16" ht="60" x14ac:dyDescent="0.3">
      <c r="A129" s="33">
        <v>13</v>
      </c>
      <c r="B129" s="17" t="s">
        <v>431</v>
      </c>
      <c r="C129" s="17" t="s">
        <v>432</v>
      </c>
      <c r="D129" s="18">
        <v>73000000</v>
      </c>
      <c r="E129" s="19">
        <v>45855</v>
      </c>
      <c r="F129" s="17" t="s">
        <v>398</v>
      </c>
      <c r="G129" s="1" t="s">
        <v>3</v>
      </c>
      <c r="H129" s="1" t="s">
        <v>4</v>
      </c>
      <c r="I129" s="1" t="s">
        <v>5</v>
      </c>
      <c r="J129" s="1" t="s">
        <v>6</v>
      </c>
      <c r="K129" s="1" t="s">
        <v>7</v>
      </c>
      <c r="L129" s="1" t="s">
        <v>34</v>
      </c>
      <c r="M129" s="1" t="s">
        <v>9</v>
      </c>
      <c r="N129" s="1" t="s">
        <v>417</v>
      </c>
      <c r="O129" s="21" t="s">
        <v>67</v>
      </c>
      <c r="P129" s="21" t="s">
        <v>27</v>
      </c>
    </row>
    <row r="130" spans="1:16" ht="84" x14ac:dyDescent="0.3">
      <c r="A130" s="33">
        <v>1</v>
      </c>
      <c r="B130" s="11" t="s">
        <v>433</v>
      </c>
      <c r="C130" s="17" t="s">
        <v>434</v>
      </c>
      <c r="D130" s="18">
        <v>28090000</v>
      </c>
      <c r="E130" s="15">
        <v>45889</v>
      </c>
      <c r="F130" s="17" t="s">
        <v>435</v>
      </c>
      <c r="G130" s="1" t="s">
        <v>14</v>
      </c>
      <c r="H130" s="1" t="s">
        <v>32</v>
      </c>
      <c r="I130" s="1" t="s">
        <v>33</v>
      </c>
      <c r="J130" s="1" t="s">
        <v>17</v>
      </c>
      <c r="K130" s="1" t="s">
        <v>18</v>
      </c>
      <c r="L130" s="1" t="s">
        <v>8</v>
      </c>
      <c r="M130" s="1" t="s">
        <v>436</v>
      </c>
      <c r="N130" s="1"/>
      <c r="O130" s="1"/>
      <c r="P130" s="21" t="s">
        <v>37</v>
      </c>
    </row>
    <row r="131" spans="1:16" ht="60" x14ac:dyDescent="0.3">
      <c r="A131" s="34">
        <v>2</v>
      </c>
      <c r="B131" s="12" t="s">
        <v>437</v>
      </c>
      <c r="C131" s="13" t="s">
        <v>438</v>
      </c>
      <c r="D131" s="14">
        <v>37934394</v>
      </c>
      <c r="E131" s="15">
        <v>45873</v>
      </c>
      <c r="F131" s="5" t="s">
        <v>435</v>
      </c>
      <c r="G131" s="2" t="s">
        <v>3</v>
      </c>
      <c r="H131" s="2" t="s">
        <v>4</v>
      </c>
      <c r="I131" s="2" t="s">
        <v>5</v>
      </c>
      <c r="J131" s="2" t="s">
        <v>6</v>
      </c>
      <c r="K131" s="2" t="s">
        <v>7</v>
      </c>
      <c r="L131" s="2" t="s">
        <v>9</v>
      </c>
      <c r="M131" s="2" t="s">
        <v>9</v>
      </c>
      <c r="N131" s="2" t="s">
        <v>439</v>
      </c>
      <c r="O131" s="2" t="s">
        <v>67</v>
      </c>
      <c r="P131" s="20" t="s">
        <v>27</v>
      </c>
    </row>
    <row r="132" spans="1:16" ht="72" x14ac:dyDescent="0.3">
      <c r="A132" s="33">
        <v>3</v>
      </c>
      <c r="B132" s="11" t="s">
        <v>440</v>
      </c>
      <c r="C132" s="13" t="s">
        <v>441</v>
      </c>
      <c r="D132" s="14">
        <v>566377500</v>
      </c>
      <c r="E132" s="15">
        <v>45875</v>
      </c>
      <c r="F132" s="17" t="s">
        <v>435</v>
      </c>
      <c r="G132" s="1" t="s">
        <v>3</v>
      </c>
      <c r="H132" s="1" t="s">
        <v>4</v>
      </c>
      <c r="I132" s="1" t="s">
        <v>25</v>
      </c>
      <c r="J132" s="1" t="s">
        <v>6</v>
      </c>
      <c r="K132" s="1" t="s">
        <v>7</v>
      </c>
      <c r="L132" s="1" t="s">
        <v>442</v>
      </c>
      <c r="M132" s="1" t="s">
        <v>442</v>
      </c>
      <c r="N132" s="1" t="s">
        <v>442</v>
      </c>
      <c r="O132" s="1" t="s">
        <v>67</v>
      </c>
      <c r="P132" s="21" t="s">
        <v>27</v>
      </c>
    </row>
    <row r="133" spans="1:16" ht="108" x14ac:dyDescent="0.3">
      <c r="A133" s="34">
        <v>4</v>
      </c>
      <c r="B133" s="16" t="s">
        <v>443</v>
      </c>
      <c r="C133" s="13" t="s">
        <v>444</v>
      </c>
      <c r="D133" s="14">
        <v>5000000</v>
      </c>
      <c r="E133" s="15">
        <v>45876</v>
      </c>
      <c r="F133" s="8" t="s">
        <v>435</v>
      </c>
      <c r="G133" s="2" t="s">
        <v>14</v>
      </c>
      <c r="H133" s="2" t="s">
        <v>15</v>
      </c>
      <c r="I133" s="2" t="s">
        <v>58</v>
      </c>
      <c r="J133" s="2" t="s">
        <v>17</v>
      </c>
      <c r="K133" s="2" t="s">
        <v>18</v>
      </c>
      <c r="L133" s="2" t="s">
        <v>192</v>
      </c>
      <c r="M133" s="2" t="s">
        <v>445</v>
      </c>
      <c r="N133" s="2" t="s">
        <v>445</v>
      </c>
      <c r="O133" s="2" t="s">
        <v>67</v>
      </c>
      <c r="P133" s="20" t="s">
        <v>27</v>
      </c>
    </row>
    <row r="134" spans="1:16" ht="156" x14ac:dyDescent="0.3">
      <c r="A134" s="33">
        <v>5</v>
      </c>
      <c r="B134" s="12" t="s">
        <v>446</v>
      </c>
      <c r="C134" s="13" t="s">
        <v>447</v>
      </c>
      <c r="D134" s="14">
        <v>40000000</v>
      </c>
      <c r="E134" s="15">
        <v>45877</v>
      </c>
      <c r="F134" s="5" t="s">
        <v>435</v>
      </c>
      <c r="G134" s="1" t="s">
        <v>123</v>
      </c>
      <c r="H134" s="1" t="s">
        <v>124</v>
      </c>
      <c r="I134" s="1" t="s">
        <v>125</v>
      </c>
      <c r="J134" s="1" t="s">
        <v>126</v>
      </c>
      <c r="K134" s="1" t="s">
        <v>18</v>
      </c>
      <c r="L134" s="1" t="s">
        <v>8</v>
      </c>
      <c r="M134" s="1" t="s">
        <v>448</v>
      </c>
      <c r="N134" s="1" t="s">
        <v>449</v>
      </c>
      <c r="O134" s="1" t="s">
        <v>450</v>
      </c>
      <c r="P134" s="21" t="s">
        <v>22</v>
      </c>
    </row>
    <row r="135" spans="1:16" ht="156" x14ac:dyDescent="0.3">
      <c r="A135" s="34">
        <v>6</v>
      </c>
      <c r="B135" s="16" t="s">
        <v>451</v>
      </c>
      <c r="C135" s="13" t="s">
        <v>452</v>
      </c>
      <c r="D135" s="14">
        <v>10000000</v>
      </c>
      <c r="E135" s="15">
        <v>45880</v>
      </c>
      <c r="F135" s="8" t="s">
        <v>435</v>
      </c>
      <c r="G135" s="2" t="s">
        <v>123</v>
      </c>
      <c r="H135" s="2" t="s">
        <v>124</v>
      </c>
      <c r="I135" s="2" t="s">
        <v>125</v>
      </c>
      <c r="J135" s="2" t="s">
        <v>126</v>
      </c>
      <c r="K135" s="2" t="s">
        <v>18</v>
      </c>
      <c r="L135" s="2" t="s">
        <v>153</v>
      </c>
      <c r="M135" s="2" t="s">
        <v>35</v>
      </c>
      <c r="N135" s="2" t="s">
        <v>453</v>
      </c>
      <c r="O135" s="2" t="s">
        <v>454</v>
      </c>
      <c r="P135" s="20" t="s">
        <v>22</v>
      </c>
    </row>
    <row r="136" spans="1:16" ht="156" x14ac:dyDescent="0.3">
      <c r="A136" s="33">
        <v>7</v>
      </c>
      <c r="B136" s="12" t="s">
        <v>455</v>
      </c>
      <c r="C136" s="13" t="s">
        <v>456</v>
      </c>
      <c r="D136" s="14">
        <v>10000000</v>
      </c>
      <c r="E136" s="15">
        <v>45880</v>
      </c>
      <c r="F136" s="5" t="s">
        <v>435</v>
      </c>
      <c r="G136" s="1" t="s">
        <v>123</v>
      </c>
      <c r="H136" s="1" t="s">
        <v>124</v>
      </c>
      <c r="I136" s="1" t="s">
        <v>125</v>
      </c>
      <c r="J136" s="1" t="s">
        <v>126</v>
      </c>
      <c r="K136" s="1" t="s">
        <v>18</v>
      </c>
      <c r="L136" s="1" t="s">
        <v>153</v>
      </c>
      <c r="M136" s="1" t="s">
        <v>35</v>
      </c>
      <c r="N136" s="1" t="s">
        <v>453</v>
      </c>
      <c r="O136" s="1" t="s">
        <v>454</v>
      </c>
      <c r="P136" s="21" t="s">
        <v>22</v>
      </c>
    </row>
    <row r="137" spans="1:16" ht="156" x14ac:dyDescent="0.3">
      <c r="A137" s="34">
        <v>8</v>
      </c>
      <c r="B137" s="13" t="s">
        <v>457</v>
      </c>
      <c r="C137" s="13" t="s">
        <v>458</v>
      </c>
      <c r="D137" s="14">
        <v>10000000</v>
      </c>
      <c r="E137" s="15">
        <v>45880</v>
      </c>
      <c r="F137" s="8" t="s">
        <v>435</v>
      </c>
      <c r="G137" s="2" t="s">
        <v>123</v>
      </c>
      <c r="H137" s="2" t="s">
        <v>124</v>
      </c>
      <c r="I137" s="2" t="s">
        <v>125</v>
      </c>
      <c r="J137" s="2" t="s">
        <v>126</v>
      </c>
      <c r="K137" s="2" t="s">
        <v>18</v>
      </c>
      <c r="L137" s="2" t="s">
        <v>153</v>
      </c>
      <c r="M137" s="2" t="s">
        <v>35</v>
      </c>
      <c r="N137" s="2" t="s">
        <v>453</v>
      </c>
      <c r="O137" s="2" t="s">
        <v>454</v>
      </c>
      <c r="P137" s="20" t="s">
        <v>22</v>
      </c>
    </row>
    <row r="138" spans="1:16" ht="156" x14ac:dyDescent="0.3">
      <c r="A138" s="33">
        <v>9</v>
      </c>
      <c r="B138" s="13" t="s">
        <v>459</v>
      </c>
      <c r="C138" s="13" t="s">
        <v>460</v>
      </c>
      <c r="D138" s="14">
        <v>10000000</v>
      </c>
      <c r="E138" s="15">
        <v>45880</v>
      </c>
      <c r="F138" s="5" t="s">
        <v>435</v>
      </c>
      <c r="G138" s="1" t="s">
        <v>123</v>
      </c>
      <c r="H138" s="1" t="s">
        <v>124</v>
      </c>
      <c r="I138" s="1" t="s">
        <v>125</v>
      </c>
      <c r="J138" s="1" t="s">
        <v>126</v>
      </c>
      <c r="K138" s="1" t="s">
        <v>18</v>
      </c>
      <c r="L138" s="1" t="s">
        <v>153</v>
      </c>
      <c r="M138" s="1" t="s">
        <v>35</v>
      </c>
      <c r="N138" s="1" t="s">
        <v>453</v>
      </c>
      <c r="O138" s="1" t="s">
        <v>454</v>
      </c>
      <c r="P138" s="21" t="s">
        <v>22</v>
      </c>
    </row>
    <row r="139" spans="1:16" ht="156" x14ac:dyDescent="0.3">
      <c r="A139" s="34">
        <v>10</v>
      </c>
      <c r="B139" s="13" t="s">
        <v>461</v>
      </c>
      <c r="C139" s="13" t="s">
        <v>462</v>
      </c>
      <c r="D139" s="14">
        <v>10000000</v>
      </c>
      <c r="E139" s="15">
        <v>45880</v>
      </c>
      <c r="F139" s="8" t="s">
        <v>435</v>
      </c>
      <c r="G139" s="2" t="s">
        <v>123</v>
      </c>
      <c r="H139" s="2" t="s">
        <v>124</v>
      </c>
      <c r="I139" s="2" t="s">
        <v>125</v>
      </c>
      <c r="J139" s="2" t="s">
        <v>126</v>
      </c>
      <c r="K139" s="2" t="s">
        <v>18</v>
      </c>
      <c r="L139" s="2" t="s">
        <v>153</v>
      </c>
      <c r="M139" s="2" t="s">
        <v>35</v>
      </c>
      <c r="N139" s="2" t="s">
        <v>453</v>
      </c>
      <c r="O139" s="2" t="s">
        <v>454</v>
      </c>
      <c r="P139" s="20" t="s">
        <v>22</v>
      </c>
    </row>
    <row r="140" spans="1:16" ht="156" x14ac:dyDescent="0.3">
      <c r="A140" s="33">
        <v>11</v>
      </c>
      <c r="B140" s="13" t="s">
        <v>463</v>
      </c>
      <c r="C140" s="13" t="s">
        <v>464</v>
      </c>
      <c r="D140" s="14">
        <v>10000000</v>
      </c>
      <c r="E140" s="15">
        <v>45880</v>
      </c>
      <c r="F140" s="5" t="s">
        <v>435</v>
      </c>
      <c r="G140" s="1" t="s">
        <v>123</v>
      </c>
      <c r="H140" s="1" t="s">
        <v>124</v>
      </c>
      <c r="I140" s="1" t="s">
        <v>125</v>
      </c>
      <c r="J140" s="1" t="s">
        <v>126</v>
      </c>
      <c r="K140" s="1" t="s">
        <v>18</v>
      </c>
      <c r="L140" s="1" t="s">
        <v>153</v>
      </c>
      <c r="M140" s="1" t="s">
        <v>35</v>
      </c>
      <c r="N140" s="1" t="s">
        <v>453</v>
      </c>
      <c r="O140" s="1" t="s">
        <v>454</v>
      </c>
      <c r="P140" s="21" t="s">
        <v>22</v>
      </c>
    </row>
    <row r="141" spans="1:16" ht="156" x14ac:dyDescent="0.3">
      <c r="A141" s="34">
        <v>12</v>
      </c>
      <c r="B141" s="13" t="s">
        <v>465</v>
      </c>
      <c r="C141" s="13" t="s">
        <v>466</v>
      </c>
      <c r="D141" s="14">
        <v>10000000</v>
      </c>
      <c r="E141" s="15">
        <v>45880</v>
      </c>
      <c r="F141" s="8" t="s">
        <v>435</v>
      </c>
      <c r="G141" s="2" t="s">
        <v>123</v>
      </c>
      <c r="H141" s="2" t="s">
        <v>124</v>
      </c>
      <c r="I141" s="2" t="s">
        <v>125</v>
      </c>
      <c r="J141" s="2" t="s">
        <v>126</v>
      </c>
      <c r="K141" s="2" t="s">
        <v>18</v>
      </c>
      <c r="L141" s="2" t="s">
        <v>153</v>
      </c>
      <c r="M141" s="2" t="s">
        <v>35</v>
      </c>
      <c r="N141" s="2" t="s">
        <v>453</v>
      </c>
      <c r="O141" s="2" t="s">
        <v>454</v>
      </c>
      <c r="P141" s="20" t="s">
        <v>22</v>
      </c>
    </row>
    <row r="142" spans="1:16" ht="156" x14ac:dyDescent="0.3">
      <c r="A142" s="33">
        <v>13</v>
      </c>
      <c r="B142" s="13" t="s">
        <v>467</v>
      </c>
      <c r="C142" s="13" t="s">
        <v>468</v>
      </c>
      <c r="D142" s="14">
        <v>40000000</v>
      </c>
      <c r="E142" s="15">
        <v>45889</v>
      </c>
      <c r="F142" s="5" t="s">
        <v>435</v>
      </c>
      <c r="G142" s="1" t="s">
        <v>123</v>
      </c>
      <c r="H142" s="1" t="s">
        <v>124</v>
      </c>
      <c r="I142" s="1" t="s">
        <v>125</v>
      </c>
      <c r="J142" s="1" t="s">
        <v>126</v>
      </c>
      <c r="K142" s="1" t="s">
        <v>18</v>
      </c>
      <c r="L142" s="1" t="s">
        <v>8</v>
      </c>
      <c r="M142" s="1" t="s">
        <v>448</v>
      </c>
      <c r="N142" s="1" t="s">
        <v>449</v>
      </c>
      <c r="O142" s="1" t="s">
        <v>450</v>
      </c>
      <c r="P142" s="21" t="s">
        <v>22</v>
      </c>
    </row>
    <row r="143" spans="1:16" ht="156" x14ac:dyDescent="0.3">
      <c r="A143" s="34">
        <v>14</v>
      </c>
      <c r="B143" s="13" t="s">
        <v>469</v>
      </c>
      <c r="C143" s="13" t="s">
        <v>470</v>
      </c>
      <c r="D143" s="14">
        <v>40000000</v>
      </c>
      <c r="E143" s="15">
        <v>45889</v>
      </c>
      <c r="F143" s="8" t="s">
        <v>435</v>
      </c>
      <c r="G143" s="2" t="s">
        <v>123</v>
      </c>
      <c r="H143" s="2" t="s">
        <v>124</v>
      </c>
      <c r="I143" s="2" t="s">
        <v>125</v>
      </c>
      <c r="J143" s="2" t="s">
        <v>126</v>
      </c>
      <c r="K143" s="2" t="s">
        <v>18</v>
      </c>
      <c r="L143" s="2" t="s">
        <v>8</v>
      </c>
      <c r="M143" s="2" t="s">
        <v>448</v>
      </c>
      <c r="N143" s="2" t="s">
        <v>449</v>
      </c>
      <c r="O143" s="2" t="s">
        <v>450</v>
      </c>
      <c r="P143" s="20" t="s">
        <v>22</v>
      </c>
    </row>
    <row r="144" spans="1:16" ht="156" x14ac:dyDescent="0.3">
      <c r="A144" s="33">
        <v>15</v>
      </c>
      <c r="B144" s="13" t="s">
        <v>471</v>
      </c>
      <c r="C144" s="13" t="s">
        <v>472</v>
      </c>
      <c r="D144" s="14">
        <v>40000000</v>
      </c>
      <c r="E144" s="15">
        <v>45889</v>
      </c>
      <c r="F144" s="5" t="s">
        <v>435</v>
      </c>
      <c r="G144" s="1" t="s">
        <v>123</v>
      </c>
      <c r="H144" s="1" t="s">
        <v>124</v>
      </c>
      <c r="I144" s="1" t="s">
        <v>125</v>
      </c>
      <c r="J144" s="1" t="s">
        <v>126</v>
      </c>
      <c r="K144" s="1" t="s">
        <v>18</v>
      </c>
      <c r="L144" s="1" t="s">
        <v>8</v>
      </c>
      <c r="M144" s="1" t="s">
        <v>448</v>
      </c>
      <c r="N144" s="1" t="s">
        <v>449</v>
      </c>
      <c r="O144" s="1" t="s">
        <v>450</v>
      </c>
      <c r="P144" s="21" t="s">
        <v>22</v>
      </c>
    </row>
    <row r="145" spans="1:16" ht="108" x14ac:dyDescent="0.3">
      <c r="A145" s="34">
        <v>17</v>
      </c>
      <c r="B145" s="13" t="s">
        <v>473</v>
      </c>
      <c r="C145" s="13" t="s">
        <v>474</v>
      </c>
      <c r="D145" s="14">
        <v>55200000</v>
      </c>
      <c r="E145" s="15">
        <v>45875</v>
      </c>
      <c r="F145" s="5" t="s">
        <v>435</v>
      </c>
      <c r="G145" s="2" t="s">
        <v>14</v>
      </c>
      <c r="H145" s="2" t="s">
        <v>32</v>
      </c>
      <c r="I145" s="2" t="s">
        <v>58</v>
      </c>
      <c r="J145" s="2" t="s">
        <v>17</v>
      </c>
      <c r="K145" s="2" t="s">
        <v>18</v>
      </c>
      <c r="L145" s="2" t="s">
        <v>8</v>
      </c>
      <c r="M145" s="2" t="s">
        <v>35</v>
      </c>
      <c r="N145" s="2" t="s">
        <v>475</v>
      </c>
      <c r="O145" s="2" t="s">
        <v>369</v>
      </c>
      <c r="P145" s="20" t="s">
        <v>37</v>
      </c>
    </row>
    <row r="146" spans="1:16" ht="108" x14ac:dyDescent="0.3">
      <c r="A146" s="33">
        <v>18</v>
      </c>
      <c r="B146" s="13" t="s">
        <v>476</v>
      </c>
      <c r="C146" s="13" t="s">
        <v>477</v>
      </c>
      <c r="D146" s="14">
        <v>240600000</v>
      </c>
      <c r="E146" s="15">
        <v>45875</v>
      </c>
      <c r="F146" s="17" t="s">
        <v>435</v>
      </c>
      <c r="G146" s="1" t="s">
        <v>14</v>
      </c>
      <c r="H146" s="1" t="s">
        <v>32</v>
      </c>
      <c r="I146" s="1" t="s">
        <v>58</v>
      </c>
      <c r="J146" s="1" t="s">
        <v>17</v>
      </c>
      <c r="K146" s="1" t="s">
        <v>18</v>
      </c>
      <c r="L146" s="1" t="s">
        <v>192</v>
      </c>
      <c r="M146" s="1" t="s">
        <v>35</v>
      </c>
      <c r="N146" s="1" t="s">
        <v>439</v>
      </c>
      <c r="O146" s="1" t="s">
        <v>369</v>
      </c>
      <c r="P146" s="21" t="s">
        <v>37</v>
      </c>
    </row>
    <row r="147" spans="1:16" ht="108" x14ac:dyDescent="0.3">
      <c r="A147" s="34">
        <v>19</v>
      </c>
      <c r="B147" s="13" t="s">
        <v>478</v>
      </c>
      <c r="C147" s="13" t="s">
        <v>479</v>
      </c>
      <c r="D147" s="14">
        <v>102000000</v>
      </c>
      <c r="E147" s="15">
        <v>45875</v>
      </c>
      <c r="F147" s="5" t="s">
        <v>435</v>
      </c>
      <c r="G147" s="2" t="s">
        <v>14</v>
      </c>
      <c r="H147" s="2" t="s">
        <v>32</v>
      </c>
      <c r="I147" s="2" t="s">
        <v>58</v>
      </c>
      <c r="J147" s="2" t="s">
        <v>17</v>
      </c>
      <c r="K147" s="2" t="s">
        <v>18</v>
      </c>
      <c r="L147" s="2" t="s">
        <v>153</v>
      </c>
      <c r="M147" s="2" t="s">
        <v>35</v>
      </c>
      <c r="N147" s="2" t="s">
        <v>364</v>
      </c>
      <c r="O147" s="2" t="s">
        <v>369</v>
      </c>
      <c r="P147" s="20" t="s">
        <v>37</v>
      </c>
    </row>
    <row r="148" spans="1:16" ht="60" x14ac:dyDescent="0.3">
      <c r="A148" s="33">
        <v>20</v>
      </c>
      <c r="B148" s="13" t="s">
        <v>480</v>
      </c>
      <c r="C148" s="17" t="s">
        <v>481</v>
      </c>
      <c r="D148" s="14">
        <v>8195000</v>
      </c>
      <c r="E148" s="15">
        <v>45877</v>
      </c>
      <c r="F148" s="17" t="s">
        <v>435</v>
      </c>
      <c r="G148" s="1" t="s">
        <v>3</v>
      </c>
      <c r="H148" s="1" t="s">
        <v>4</v>
      </c>
      <c r="I148" s="1" t="s">
        <v>25</v>
      </c>
      <c r="J148" s="1" t="s">
        <v>6</v>
      </c>
      <c r="K148" s="1" t="s">
        <v>7</v>
      </c>
      <c r="L148" s="1" t="s">
        <v>9</v>
      </c>
      <c r="M148" s="1" t="s">
        <v>9</v>
      </c>
      <c r="N148" s="1" t="s">
        <v>439</v>
      </c>
      <c r="O148" s="1" t="s">
        <v>67</v>
      </c>
      <c r="P148" s="21" t="s">
        <v>27</v>
      </c>
    </row>
    <row r="149" spans="1:16" ht="60" x14ac:dyDescent="0.3">
      <c r="A149" s="34">
        <v>21</v>
      </c>
      <c r="B149" s="13" t="s">
        <v>482</v>
      </c>
      <c r="C149" s="8" t="s">
        <v>483</v>
      </c>
      <c r="D149" s="14">
        <v>8030000</v>
      </c>
      <c r="E149" s="15">
        <v>45877</v>
      </c>
      <c r="F149" s="5" t="s">
        <v>435</v>
      </c>
      <c r="G149" s="2" t="s">
        <v>3</v>
      </c>
      <c r="H149" s="2" t="s">
        <v>4</v>
      </c>
      <c r="I149" s="2" t="s">
        <v>25</v>
      </c>
      <c r="J149" s="2" t="s">
        <v>6</v>
      </c>
      <c r="K149" s="2" t="s">
        <v>7</v>
      </c>
      <c r="L149" s="2" t="s">
        <v>9</v>
      </c>
      <c r="M149" s="2" t="s">
        <v>9</v>
      </c>
      <c r="N149" s="2" t="s">
        <v>439</v>
      </c>
      <c r="O149" s="2" t="s">
        <v>67</v>
      </c>
      <c r="P149" s="20" t="s">
        <v>27</v>
      </c>
    </row>
    <row r="150" spans="1:16" ht="60" x14ac:dyDescent="0.3">
      <c r="A150" s="33">
        <v>22</v>
      </c>
      <c r="B150" s="13" t="s">
        <v>484</v>
      </c>
      <c r="C150" s="17" t="s">
        <v>485</v>
      </c>
      <c r="D150" s="14">
        <v>8470000</v>
      </c>
      <c r="E150" s="15">
        <v>45877</v>
      </c>
      <c r="F150" s="17" t="s">
        <v>435</v>
      </c>
      <c r="G150" s="1" t="s">
        <v>3</v>
      </c>
      <c r="H150" s="1" t="s">
        <v>4</v>
      </c>
      <c r="I150" s="1" t="s">
        <v>25</v>
      </c>
      <c r="J150" s="1" t="s">
        <v>6</v>
      </c>
      <c r="K150" s="1" t="s">
        <v>7</v>
      </c>
      <c r="L150" s="1" t="s">
        <v>9</v>
      </c>
      <c r="M150" s="1" t="s">
        <v>9</v>
      </c>
      <c r="N150" s="1" t="s">
        <v>439</v>
      </c>
      <c r="O150" s="1" t="s">
        <v>67</v>
      </c>
      <c r="P150" s="21" t="s">
        <v>27</v>
      </c>
    </row>
    <row r="151" spans="1:16" ht="48" x14ac:dyDescent="0.3">
      <c r="A151" s="33">
        <v>1</v>
      </c>
      <c r="B151" s="11" t="s">
        <v>486</v>
      </c>
      <c r="C151" s="11" t="s">
        <v>487</v>
      </c>
      <c r="D151" s="22">
        <v>14080000</v>
      </c>
      <c r="E151" s="23">
        <v>45917</v>
      </c>
      <c r="F151" s="17" t="s">
        <v>488</v>
      </c>
      <c r="G151" s="1" t="s">
        <v>3</v>
      </c>
      <c r="H151" s="1" t="s">
        <v>4</v>
      </c>
      <c r="I151" s="1" t="s">
        <v>25</v>
      </c>
      <c r="J151" s="1" t="s">
        <v>6</v>
      </c>
      <c r="K151" s="1" t="s">
        <v>7</v>
      </c>
      <c r="L151" s="1" t="s">
        <v>442</v>
      </c>
      <c r="M151" s="1" t="s">
        <v>442</v>
      </c>
      <c r="N151" s="1" t="s">
        <v>442</v>
      </c>
      <c r="O151" s="1" t="s">
        <v>67</v>
      </c>
      <c r="P151" s="21" t="s">
        <v>27</v>
      </c>
    </row>
    <row r="152" spans="1:16" ht="156" x14ac:dyDescent="0.3">
      <c r="A152" s="34">
        <v>2</v>
      </c>
      <c r="B152" s="16" t="s">
        <v>489</v>
      </c>
      <c r="C152" s="16" t="s">
        <v>490</v>
      </c>
      <c r="D152" s="24">
        <v>50000000</v>
      </c>
      <c r="E152" s="25">
        <v>45901</v>
      </c>
      <c r="F152" s="8" t="s">
        <v>488</v>
      </c>
      <c r="G152" s="2" t="s">
        <v>123</v>
      </c>
      <c r="H152" s="2" t="s">
        <v>124</v>
      </c>
      <c r="I152" s="2" t="s">
        <v>125</v>
      </c>
      <c r="J152" s="2" t="s">
        <v>126</v>
      </c>
      <c r="K152" s="2" t="s">
        <v>18</v>
      </c>
      <c r="L152" s="2" t="s">
        <v>19</v>
      </c>
      <c r="M152" s="2" t="s">
        <v>35</v>
      </c>
      <c r="N152" s="2" t="s">
        <v>491</v>
      </c>
      <c r="O152" s="2" t="s">
        <v>85</v>
      </c>
      <c r="P152" s="20" t="s">
        <v>37</v>
      </c>
    </row>
    <row r="153" spans="1:16" ht="156" x14ac:dyDescent="0.3">
      <c r="A153" s="33">
        <v>3</v>
      </c>
      <c r="B153" s="11" t="s">
        <v>492</v>
      </c>
      <c r="C153" s="11" t="s">
        <v>493</v>
      </c>
      <c r="D153" s="22">
        <v>100000000</v>
      </c>
      <c r="E153" s="23">
        <v>45902</v>
      </c>
      <c r="F153" s="17" t="s">
        <v>488</v>
      </c>
      <c r="G153" s="1" t="s">
        <v>123</v>
      </c>
      <c r="H153" s="1" t="s">
        <v>124</v>
      </c>
      <c r="I153" s="1" t="s">
        <v>125</v>
      </c>
      <c r="J153" s="1" t="s">
        <v>126</v>
      </c>
      <c r="K153" s="1" t="s">
        <v>18</v>
      </c>
      <c r="L153" s="1" t="s">
        <v>19</v>
      </c>
      <c r="M153" s="1" t="s">
        <v>35</v>
      </c>
      <c r="N153" s="1" t="s">
        <v>491</v>
      </c>
      <c r="O153" s="1" t="s">
        <v>324</v>
      </c>
      <c r="P153" s="21" t="s">
        <v>249</v>
      </c>
    </row>
    <row r="154" spans="1:16" ht="156" x14ac:dyDescent="0.3">
      <c r="A154" s="34">
        <v>4</v>
      </c>
      <c r="B154" s="8" t="s">
        <v>494</v>
      </c>
      <c r="C154" s="16" t="s">
        <v>495</v>
      </c>
      <c r="D154" s="24">
        <v>40000000</v>
      </c>
      <c r="E154" s="25">
        <v>45902</v>
      </c>
      <c r="F154" s="8" t="s">
        <v>488</v>
      </c>
      <c r="G154" s="2" t="s">
        <v>123</v>
      </c>
      <c r="H154" s="2" t="s">
        <v>124</v>
      </c>
      <c r="I154" s="2" t="s">
        <v>125</v>
      </c>
      <c r="J154" s="2" t="s">
        <v>126</v>
      </c>
      <c r="K154" s="2" t="s">
        <v>18</v>
      </c>
      <c r="L154" s="2" t="s">
        <v>8</v>
      </c>
      <c r="M154" s="2" t="s">
        <v>448</v>
      </c>
      <c r="N154" s="2" t="s">
        <v>449</v>
      </c>
      <c r="O154" s="2" t="s">
        <v>450</v>
      </c>
      <c r="P154" s="20" t="s">
        <v>22</v>
      </c>
    </row>
    <row r="155" spans="1:16" ht="156" x14ac:dyDescent="0.3">
      <c r="A155" s="33">
        <v>5</v>
      </c>
      <c r="B155" s="17" t="s">
        <v>496</v>
      </c>
      <c r="C155" s="11" t="s">
        <v>497</v>
      </c>
      <c r="D155" s="22">
        <v>40000000</v>
      </c>
      <c r="E155" s="23">
        <v>45902</v>
      </c>
      <c r="F155" s="17" t="s">
        <v>488</v>
      </c>
      <c r="G155" s="1" t="s">
        <v>123</v>
      </c>
      <c r="H155" s="1" t="s">
        <v>124</v>
      </c>
      <c r="I155" s="1" t="s">
        <v>125</v>
      </c>
      <c r="J155" s="1" t="s">
        <v>126</v>
      </c>
      <c r="K155" s="1" t="s">
        <v>18</v>
      </c>
      <c r="L155" s="1" t="s">
        <v>8</v>
      </c>
      <c r="M155" s="1" t="s">
        <v>448</v>
      </c>
      <c r="N155" s="1" t="s">
        <v>449</v>
      </c>
      <c r="O155" s="1" t="s">
        <v>450</v>
      </c>
      <c r="P155" s="21" t="s">
        <v>22</v>
      </c>
    </row>
    <row r="156" spans="1:16" ht="156" x14ac:dyDescent="0.3">
      <c r="A156" s="34">
        <v>6</v>
      </c>
      <c r="B156" s="8" t="s">
        <v>498</v>
      </c>
      <c r="C156" s="16" t="s">
        <v>499</v>
      </c>
      <c r="D156" s="24">
        <v>10000000</v>
      </c>
      <c r="E156" s="25">
        <v>45902</v>
      </c>
      <c r="F156" s="8" t="s">
        <v>488</v>
      </c>
      <c r="G156" s="2" t="s">
        <v>123</v>
      </c>
      <c r="H156" s="2" t="s">
        <v>124</v>
      </c>
      <c r="I156" s="2" t="s">
        <v>125</v>
      </c>
      <c r="J156" s="2" t="s">
        <v>126</v>
      </c>
      <c r="K156" s="2" t="s">
        <v>18</v>
      </c>
      <c r="L156" s="2" t="s">
        <v>153</v>
      </c>
      <c r="M156" s="2" t="s">
        <v>35</v>
      </c>
      <c r="N156" s="2" t="s">
        <v>453</v>
      </c>
      <c r="O156" s="2" t="s">
        <v>454</v>
      </c>
      <c r="P156" s="20" t="s">
        <v>22</v>
      </c>
    </row>
    <row r="157" spans="1:16" ht="156" x14ac:dyDescent="0.3">
      <c r="A157" s="33">
        <v>7</v>
      </c>
      <c r="B157" s="17" t="s">
        <v>500</v>
      </c>
      <c r="C157" s="11" t="s">
        <v>501</v>
      </c>
      <c r="D157" s="22">
        <v>10000000</v>
      </c>
      <c r="E157" s="23">
        <v>45902</v>
      </c>
      <c r="F157" s="17" t="s">
        <v>488</v>
      </c>
      <c r="G157" s="1" t="s">
        <v>123</v>
      </c>
      <c r="H157" s="1" t="s">
        <v>124</v>
      </c>
      <c r="I157" s="1" t="s">
        <v>125</v>
      </c>
      <c r="J157" s="1" t="s">
        <v>126</v>
      </c>
      <c r="K157" s="1" t="s">
        <v>18</v>
      </c>
      <c r="L157" s="1" t="s">
        <v>153</v>
      </c>
      <c r="M157" s="1" t="s">
        <v>35</v>
      </c>
      <c r="N157" s="1" t="s">
        <v>453</v>
      </c>
      <c r="O157" s="1" t="s">
        <v>454</v>
      </c>
      <c r="P157" s="21" t="s">
        <v>22</v>
      </c>
    </row>
    <row r="158" spans="1:16" ht="156" x14ac:dyDescent="0.3">
      <c r="A158" s="34">
        <v>8</v>
      </c>
      <c r="B158" s="8" t="s">
        <v>502</v>
      </c>
      <c r="C158" s="16" t="s">
        <v>503</v>
      </c>
      <c r="D158" s="24">
        <v>10000000</v>
      </c>
      <c r="E158" s="25">
        <v>45902</v>
      </c>
      <c r="F158" s="8" t="s">
        <v>488</v>
      </c>
      <c r="G158" s="2" t="s">
        <v>123</v>
      </c>
      <c r="H158" s="2" t="s">
        <v>124</v>
      </c>
      <c r="I158" s="2" t="s">
        <v>125</v>
      </c>
      <c r="J158" s="2" t="s">
        <v>126</v>
      </c>
      <c r="K158" s="2" t="s">
        <v>18</v>
      </c>
      <c r="L158" s="2" t="s">
        <v>153</v>
      </c>
      <c r="M158" s="2" t="s">
        <v>35</v>
      </c>
      <c r="N158" s="2" t="s">
        <v>453</v>
      </c>
      <c r="O158" s="2" t="s">
        <v>454</v>
      </c>
      <c r="P158" s="20" t="s">
        <v>22</v>
      </c>
    </row>
    <row r="159" spans="1:16" ht="156" x14ac:dyDescent="0.3">
      <c r="A159" s="33">
        <v>9</v>
      </c>
      <c r="B159" s="17" t="s">
        <v>504</v>
      </c>
      <c r="C159" s="11" t="s">
        <v>505</v>
      </c>
      <c r="D159" s="22">
        <v>10000000</v>
      </c>
      <c r="E159" s="23">
        <v>45902</v>
      </c>
      <c r="F159" s="17" t="s">
        <v>488</v>
      </c>
      <c r="G159" s="1" t="s">
        <v>123</v>
      </c>
      <c r="H159" s="1" t="s">
        <v>124</v>
      </c>
      <c r="I159" s="1" t="s">
        <v>125</v>
      </c>
      <c r="J159" s="1" t="s">
        <v>126</v>
      </c>
      <c r="K159" s="1" t="s">
        <v>18</v>
      </c>
      <c r="L159" s="1" t="s">
        <v>153</v>
      </c>
      <c r="M159" s="1" t="s">
        <v>35</v>
      </c>
      <c r="N159" s="1" t="s">
        <v>453</v>
      </c>
      <c r="O159" s="1" t="s">
        <v>454</v>
      </c>
      <c r="P159" s="21" t="s">
        <v>22</v>
      </c>
    </row>
    <row r="160" spans="1:16" ht="36" x14ac:dyDescent="0.3">
      <c r="A160" s="34">
        <v>10</v>
      </c>
      <c r="B160" s="8" t="s">
        <v>506</v>
      </c>
      <c r="C160" s="16" t="s">
        <v>507</v>
      </c>
      <c r="D160" s="24">
        <v>15000000</v>
      </c>
      <c r="E160" s="25">
        <v>45919</v>
      </c>
      <c r="F160" s="8" t="s">
        <v>488</v>
      </c>
      <c r="G160" s="2" t="s">
        <v>14</v>
      </c>
      <c r="H160" s="2" t="s">
        <v>57</v>
      </c>
      <c r="I160" s="2" t="s">
        <v>70</v>
      </c>
      <c r="J160" s="2" t="s">
        <v>6</v>
      </c>
      <c r="K160" s="2" t="s">
        <v>18</v>
      </c>
      <c r="L160" s="2" t="s">
        <v>153</v>
      </c>
      <c r="M160" s="2" t="s">
        <v>448</v>
      </c>
      <c r="N160" s="2" t="s">
        <v>508</v>
      </c>
      <c r="O160" s="2" t="s">
        <v>509</v>
      </c>
      <c r="P160" s="20" t="s">
        <v>37</v>
      </c>
    </row>
    <row r="161" spans="1:16" ht="96" x14ac:dyDescent="0.3">
      <c r="A161" s="33">
        <v>11</v>
      </c>
      <c r="B161" s="17" t="s">
        <v>510</v>
      </c>
      <c r="C161" s="11" t="s">
        <v>511</v>
      </c>
      <c r="D161" s="22">
        <v>193680000</v>
      </c>
      <c r="E161" s="23">
        <v>45904</v>
      </c>
      <c r="F161" s="17" t="s">
        <v>488</v>
      </c>
      <c r="G161" s="1" t="s">
        <v>14</v>
      </c>
      <c r="H161" s="1" t="s">
        <v>32</v>
      </c>
      <c r="I161" s="1" t="s">
        <v>33</v>
      </c>
      <c r="J161" s="1" t="s">
        <v>17</v>
      </c>
      <c r="K161" s="1" t="s">
        <v>18</v>
      </c>
      <c r="L161" s="1" t="s">
        <v>71</v>
      </c>
      <c r="M161" s="1" t="s">
        <v>35</v>
      </c>
      <c r="N161" s="1" t="s">
        <v>512</v>
      </c>
      <c r="O161" s="1" t="s">
        <v>315</v>
      </c>
      <c r="P161" s="21" t="s">
        <v>37</v>
      </c>
    </row>
    <row r="162" spans="1:16" ht="48" x14ac:dyDescent="0.3">
      <c r="A162" s="33">
        <v>1</v>
      </c>
      <c r="B162" s="11" t="s">
        <v>513</v>
      </c>
      <c r="C162" s="11" t="s">
        <v>514</v>
      </c>
      <c r="D162" s="22">
        <v>1000000</v>
      </c>
      <c r="E162" s="23">
        <v>45936</v>
      </c>
      <c r="F162" s="17" t="s">
        <v>515</v>
      </c>
      <c r="G162" s="1" t="s">
        <v>14</v>
      </c>
      <c r="H162" s="1" t="s">
        <v>57</v>
      </c>
      <c r="I162" s="1" t="s">
        <v>105</v>
      </c>
      <c r="J162" s="1" t="s">
        <v>17</v>
      </c>
      <c r="K162" s="1" t="s">
        <v>18</v>
      </c>
      <c r="L162" s="1" t="s">
        <v>153</v>
      </c>
      <c r="M162" s="1" t="s">
        <v>35</v>
      </c>
      <c r="N162" s="1" t="s">
        <v>508</v>
      </c>
      <c r="O162" s="1" t="s">
        <v>509</v>
      </c>
      <c r="P162" s="21" t="s">
        <v>37</v>
      </c>
    </row>
    <row r="163" spans="1:16" ht="60" x14ac:dyDescent="0.3">
      <c r="A163" s="34">
        <v>2</v>
      </c>
      <c r="B163" s="16" t="s">
        <v>516</v>
      </c>
      <c r="C163" s="16" t="s">
        <v>517</v>
      </c>
      <c r="D163" s="24">
        <v>6888000</v>
      </c>
      <c r="E163" s="25">
        <v>45938</v>
      </c>
      <c r="F163" s="8" t="s">
        <v>515</v>
      </c>
      <c r="G163" s="2" t="s">
        <v>3</v>
      </c>
      <c r="H163" s="2" t="s">
        <v>4</v>
      </c>
      <c r="I163" s="2" t="s">
        <v>25</v>
      </c>
      <c r="J163" s="2" t="s">
        <v>6</v>
      </c>
      <c r="K163" s="2" t="s">
        <v>18</v>
      </c>
      <c r="L163" s="2" t="s">
        <v>9</v>
      </c>
      <c r="M163" s="2" t="s">
        <v>9</v>
      </c>
      <c r="N163" s="2" t="s">
        <v>518</v>
      </c>
      <c r="O163" s="2" t="s">
        <v>519</v>
      </c>
      <c r="P163" s="20" t="s">
        <v>72</v>
      </c>
    </row>
    <row r="164" spans="1:16" ht="84" x14ac:dyDescent="0.3">
      <c r="A164" s="33">
        <v>3</v>
      </c>
      <c r="B164" s="11" t="s">
        <v>520</v>
      </c>
      <c r="C164" s="11" t="s">
        <v>521</v>
      </c>
      <c r="D164" s="22">
        <f>8828000-1683000</f>
        <v>7145000</v>
      </c>
      <c r="E164" s="23">
        <v>45944</v>
      </c>
      <c r="F164" s="17" t="s">
        <v>515</v>
      </c>
      <c r="G164" s="1" t="s">
        <v>3</v>
      </c>
      <c r="H164" s="1" t="s">
        <v>4</v>
      </c>
      <c r="I164" s="1" t="s">
        <v>5</v>
      </c>
      <c r="J164" s="1" t="s">
        <v>6</v>
      </c>
      <c r="K164" s="1" t="s">
        <v>7</v>
      </c>
      <c r="L164" s="1" t="s">
        <v>9</v>
      </c>
      <c r="M164" s="1" t="s">
        <v>9</v>
      </c>
      <c r="N164" s="1" t="s">
        <v>522</v>
      </c>
      <c r="O164" s="1" t="s">
        <v>26</v>
      </c>
      <c r="P164" s="21" t="s">
        <v>27</v>
      </c>
    </row>
    <row r="165" spans="1:16" ht="156" x14ac:dyDescent="0.3">
      <c r="A165" s="34">
        <v>4</v>
      </c>
      <c r="B165" s="8" t="s">
        <v>523</v>
      </c>
      <c r="C165" s="16" t="s">
        <v>524</v>
      </c>
      <c r="D165" s="24">
        <v>10000000</v>
      </c>
      <c r="E165" s="25">
        <v>45931</v>
      </c>
      <c r="F165" s="8" t="s">
        <v>515</v>
      </c>
      <c r="G165" s="2" t="s">
        <v>123</v>
      </c>
      <c r="H165" s="2" t="s">
        <v>124</v>
      </c>
      <c r="I165" s="2" t="s">
        <v>125</v>
      </c>
      <c r="J165" s="2" t="s">
        <v>126</v>
      </c>
      <c r="K165" s="2" t="s">
        <v>18</v>
      </c>
      <c r="L165" s="2" t="s">
        <v>153</v>
      </c>
      <c r="M165" s="2" t="s">
        <v>35</v>
      </c>
      <c r="N165" s="2" t="s">
        <v>453</v>
      </c>
      <c r="O165" s="2" t="s">
        <v>454</v>
      </c>
      <c r="P165" s="20" t="s">
        <v>22</v>
      </c>
    </row>
    <row r="166" spans="1:16" ht="156" x14ac:dyDescent="0.3">
      <c r="A166" s="33">
        <v>5</v>
      </c>
      <c r="B166" s="17" t="s">
        <v>525</v>
      </c>
      <c r="C166" s="11" t="s">
        <v>526</v>
      </c>
      <c r="D166" s="22">
        <v>10000000</v>
      </c>
      <c r="E166" s="23">
        <v>45931</v>
      </c>
      <c r="F166" s="17" t="s">
        <v>515</v>
      </c>
      <c r="G166" s="1" t="s">
        <v>123</v>
      </c>
      <c r="H166" s="1" t="s">
        <v>124</v>
      </c>
      <c r="I166" s="1" t="s">
        <v>125</v>
      </c>
      <c r="J166" s="1" t="s">
        <v>126</v>
      </c>
      <c r="K166" s="1" t="s">
        <v>18</v>
      </c>
      <c r="L166" s="1" t="s">
        <v>153</v>
      </c>
      <c r="M166" s="1" t="s">
        <v>35</v>
      </c>
      <c r="N166" s="1" t="s">
        <v>453</v>
      </c>
      <c r="O166" s="1" t="s">
        <v>454</v>
      </c>
      <c r="P166" s="21" t="s">
        <v>22</v>
      </c>
    </row>
    <row r="167" spans="1:16" ht="156" x14ac:dyDescent="0.3">
      <c r="A167" s="34">
        <v>6</v>
      </c>
      <c r="B167" s="8" t="s">
        <v>527</v>
      </c>
      <c r="C167" s="16" t="s">
        <v>528</v>
      </c>
      <c r="D167" s="24">
        <v>50000000</v>
      </c>
      <c r="E167" s="25">
        <v>45952</v>
      </c>
      <c r="F167" s="8" t="s">
        <v>515</v>
      </c>
      <c r="G167" s="2" t="s">
        <v>123</v>
      </c>
      <c r="H167" s="2" t="s">
        <v>124</v>
      </c>
      <c r="I167" s="2" t="s">
        <v>125</v>
      </c>
      <c r="J167" s="2" t="s">
        <v>126</v>
      </c>
      <c r="K167" s="2" t="s">
        <v>18</v>
      </c>
      <c r="L167" s="2" t="s">
        <v>71</v>
      </c>
      <c r="M167" s="2" t="s">
        <v>448</v>
      </c>
      <c r="N167" s="2" t="s">
        <v>529</v>
      </c>
      <c r="O167" s="2" t="s">
        <v>85</v>
      </c>
      <c r="P167" s="20" t="s">
        <v>37</v>
      </c>
    </row>
    <row r="168" spans="1:16" ht="48" x14ac:dyDescent="0.3">
      <c r="A168" s="33">
        <v>1</v>
      </c>
      <c r="B168" s="11" t="s">
        <v>530</v>
      </c>
      <c r="C168" s="11" t="s">
        <v>531</v>
      </c>
      <c r="D168" s="22">
        <v>2500000</v>
      </c>
      <c r="E168" s="23">
        <v>45974</v>
      </c>
      <c r="F168" s="17" t="s">
        <v>532</v>
      </c>
      <c r="G168" s="1" t="s">
        <v>3</v>
      </c>
      <c r="H168" s="1" t="s">
        <v>4</v>
      </c>
      <c r="I168" s="1" t="s">
        <v>5</v>
      </c>
      <c r="J168" s="1" t="s">
        <v>6</v>
      </c>
      <c r="K168" s="1" t="s">
        <v>7</v>
      </c>
      <c r="L168" s="1" t="s">
        <v>9</v>
      </c>
      <c r="M168" s="1" t="s">
        <v>9</v>
      </c>
      <c r="N168" s="1" t="s">
        <v>533</v>
      </c>
      <c r="O168" s="1" t="s">
        <v>26</v>
      </c>
      <c r="P168" s="21" t="s">
        <v>27</v>
      </c>
    </row>
    <row r="169" spans="1:16" ht="60" x14ac:dyDescent="0.3">
      <c r="A169" s="34">
        <v>2</v>
      </c>
      <c r="B169" s="16" t="s">
        <v>534</v>
      </c>
      <c r="C169" s="16" t="s">
        <v>535</v>
      </c>
      <c r="D169" s="24">
        <v>2400000</v>
      </c>
      <c r="E169" s="25">
        <v>45974</v>
      </c>
      <c r="F169" s="8" t="s">
        <v>532</v>
      </c>
      <c r="G169" s="2" t="s">
        <v>3</v>
      </c>
      <c r="H169" s="2" t="s">
        <v>4</v>
      </c>
      <c r="I169" s="2" t="s">
        <v>5</v>
      </c>
      <c r="J169" s="2" t="s">
        <v>6</v>
      </c>
      <c r="K169" s="2" t="s">
        <v>18</v>
      </c>
      <c r="L169" s="2" t="s">
        <v>9</v>
      </c>
      <c r="M169" s="2" t="s">
        <v>9</v>
      </c>
      <c r="N169" s="2" t="s">
        <v>536</v>
      </c>
      <c r="O169" s="2" t="s">
        <v>26</v>
      </c>
      <c r="P169" s="20" t="s">
        <v>27</v>
      </c>
    </row>
    <row r="170" spans="1:16" ht="48" x14ac:dyDescent="0.3">
      <c r="A170" s="33">
        <v>3</v>
      </c>
      <c r="B170" s="11" t="s">
        <v>537</v>
      </c>
      <c r="C170" s="11" t="s">
        <v>538</v>
      </c>
      <c r="D170" s="22">
        <v>44719125</v>
      </c>
      <c r="E170" s="26">
        <v>45964</v>
      </c>
      <c r="F170" s="17" t="s">
        <v>532</v>
      </c>
      <c r="G170" s="1" t="s">
        <v>3</v>
      </c>
      <c r="H170" s="1" t="s">
        <v>4</v>
      </c>
      <c r="I170" s="1" t="s">
        <v>5</v>
      </c>
      <c r="J170" s="1" t="s">
        <v>6</v>
      </c>
      <c r="K170" s="1" t="s">
        <v>7</v>
      </c>
      <c r="L170" s="1" t="s">
        <v>9</v>
      </c>
      <c r="M170" s="1" t="s">
        <v>9</v>
      </c>
      <c r="N170" s="1" t="s">
        <v>539</v>
      </c>
      <c r="O170" s="1" t="s">
        <v>26</v>
      </c>
      <c r="P170" s="21" t="s">
        <v>27</v>
      </c>
    </row>
    <row r="171" spans="1:16" ht="156" x14ac:dyDescent="0.3">
      <c r="A171" s="34">
        <v>4</v>
      </c>
      <c r="B171" s="8" t="s">
        <v>540</v>
      </c>
      <c r="C171" s="8" t="s">
        <v>541</v>
      </c>
      <c r="D171" s="9">
        <v>20000000</v>
      </c>
      <c r="E171" s="27">
        <v>45965</v>
      </c>
      <c r="F171" s="8" t="s">
        <v>532</v>
      </c>
      <c r="G171" s="2" t="s">
        <v>123</v>
      </c>
      <c r="H171" s="2" t="s">
        <v>124</v>
      </c>
      <c r="I171" s="2" t="s">
        <v>125</v>
      </c>
      <c r="J171" s="2" t="s">
        <v>126</v>
      </c>
      <c r="K171" s="2" t="s">
        <v>18</v>
      </c>
      <c r="L171" s="2" t="s">
        <v>153</v>
      </c>
      <c r="M171" s="2" t="s">
        <v>35</v>
      </c>
      <c r="N171" s="2" t="s">
        <v>453</v>
      </c>
      <c r="O171" s="2" t="s">
        <v>542</v>
      </c>
      <c r="P171" s="20" t="s">
        <v>27</v>
      </c>
    </row>
    <row r="172" spans="1:16" ht="48" x14ac:dyDescent="0.3">
      <c r="A172" s="33">
        <v>5</v>
      </c>
      <c r="B172" s="17" t="s">
        <v>543</v>
      </c>
      <c r="C172" s="17" t="s">
        <v>544</v>
      </c>
      <c r="D172" s="18">
        <v>49532818</v>
      </c>
      <c r="E172" s="26">
        <v>45973</v>
      </c>
      <c r="F172" s="17" t="s">
        <v>532</v>
      </c>
      <c r="G172" s="1" t="s">
        <v>14</v>
      </c>
      <c r="H172" s="1" t="s">
        <v>15</v>
      </c>
      <c r="I172" s="1" t="s">
        <v>16</v>
      </c>
      <c r="J172" s="1" t="s">
        <v>17</v>
      </c>
      <c r="K172" s="1" t="s">
        <v>18</v>
      </c>
      <c r="L172" s="1" t="s">
        <v>153</v>
      </c>
      <c r="M172" s="1" t="s">
        <v>153</v>
      </c>
      <c r="N172" s="1" t="s">
        <v>545</v>
      </c>
      <c r="O172" s="1" t="s">
        <v>546</v>
      </c>
      <c r="P172" s="21" t="s">
        <v>11</v>
      </c>
    </row>
    <row r="173" spans="1:16" ht="48" x14ac:dyDescent="0.3">
      <c r="A173" s="34">
        <v>6</v>
      </c>
      <c r="B173" s="8" t="s">
        <v>547</v>
      </c>
      <c r="C173" s="16" t="s">
        <v>548</v>
      </c>
      <c r="D173" s="24">
        <v>4500000</v>
      </c>
      <c r="E173" s="27">
        <v>45981</v>
      </c>
      <c r="F173" s="8" t="s">
        <v>532</v>
      </c>
      <c r="G173" s="2" t="s">
        <v>14</v>
      </c>
      <c r="H173" s="2" t="s">
        <v>32</v>
      </c>
      <c r="I173" s="2" t="s">
        <v>549</v>
      </c>
      <c r="J173" s="2" t="s">
        <v>17</v>
      </c>
      <c r="K173" s="2" t="s">
        <v>18</v>
      </c>
      <c r="L173" s="2" t="s">
        <v>385</v>
      </c>
      <c r="M173" s="2" t="s">
        <v>550</v>
      </c>
      <c r="N173" s="2" t="s">
        <v>551</v>
      </c>
      <c r="O173" s="2" t="s">
        <v>552</v>
      </c>
      <c r="P173" s="20" t="s">
        <v>22</v>
      </c>
    </row>
    <row r="174" spans="1:16" ht="60" x14ac:dyDescent="0.3">
      <c r="A174" s="33">
        <v>7</v>
      </c>
      <c r="B174" s="17" t="s">
        <v>553</v>
      </c>
      <c r="C174" s="17" t="s">
        <v>554</v>
      </c>
      <c r="D174" s="18">
        <v>2500000</v>
      </c>
      <c r="E174" s="26">
        <v>45985</v>
      </c>
      <c r="F174" s="17" t="s">
        <v>532</v>
      </c>
      <c r="G174" s="1" t="s">
        <v>14</v>
      </c>
      <c r="H174" s="1" t="s">
        <v>32</v>
      </c>
      <c r="I174" s="1" t="s">
        <v>549</v>
      </c>
      <c r="J174" s="1" t="s">
        <v>17</v>
      </c>
      <c r="K174" s="1" t="s">
        <v>18</v>
      </c>
      <c r="L174" s="1" t="s">
        <v>385</v>
      </c>
      <c r="M174" s="1" t="s">
        <v>555</v>
      </c>
      <c r="N174" s="1" t="s">
        <v>556</v>
      </c>
      <c r="O174" s="1" t="s">
        <v>557</v>
      </c>
      <c r="P174" s="21" t="s">
        <v>558</v>
      </c>
    </row>
    <row r="175" spans="1:16" ht="60" x14ac:dyDescent="0.3">
      <c r="A175" s="34">
        <v>8</v>
      </c>
      <c r="B175" s="8" t="s">
        <v>559</v>
      </c>
      <c r="C175" s="16" t="s">
        <v>560</v>
      </c>
      <c r="D175" s="24">
        <v>109297500</v>
      </c>
      <c r="E175" s="27">
        <v>45964</v>
      </c>
      <c r="F175" s="8" t="s">
        <v>532</v>
      </c>
      <c r="G175" s="2" t="s">
        <v>3</v>
      </c>
      <c r="H175" s="2" t="s">
        <v>4</v>
      </c>
      <c r="I175" s="2" t="s">
        <v>25</v>
      </c>
      <c r="J175" s="2" t="s">
        <v>6</v>
      </c>
      <c r="K175" s="2" t="s">
        <v>7</v>
      </c>
      <c r="L175" s="2" t="s">
        <v>442</v>
      </c>
      <c r="M175" s="2" t="s">
        <v>9</v>
      </c>
      <c r="N175" s="2" t="s">
        <v>442</v>
      </c>
      <c r="O175" s="2" t="s">
        <v>26</v>
      </c>
      <c r="P175" s="20" t="s">
        <v>27</v>
      </c>
    </row>
    <row r="176" spans="1:16" ht="72" x14ac:dyDescent="0.3">
      <c r="A176" s="33">
        <v>9</v>
      </c>
      <c r="B176" s="17" t="s">
        <v>561</v>
      </c>
      <c r="C176" s="11" t="s">
        <v>562</v>
      </c>
      <c r="D176" s="22">
        <v>180000000</v>
      </c>
      <c r="E176" s="26">
        <v>45968</v>
      </c>
      <c r="F176" s="17" t="s">
        <v>532</v>
      </c>
      <c r="G176" s="1" t="s">
        <v>14</v>
      </c>
      <c r="H176" s="1" t="s">
        <v>32</v>
      </c>
      <c r="I176" s="1" t="s">
        <v>549</v>
      </c>
      <c r="J176" s="1" t="s">
        <v>126</v>
      </c>
      <c r="K176" s="1" t="s">
        <v>18</v>
      </c>
      <c r="L176" s="1" t="s">
        <v>71</v>
      </c>
      <c r="M176" s="1" t="s">
        <v>448</v>
      </c>
      <c r="N176" s="1" t="s">
        <v>563</v>
      </c>
      <c r="O176" s="1" t="s">
        <v>564</v>
      </c>
      <c r="P176" s="21" t="s">
        <v>37</v>
      </c>
    </row>
    <row r="177" spans="1:16" ht="60" x14ac:dyDescent="0.3">
      <c r="A177" s="34">
        <v>10</v>
      </c>
      <c r="B177" s="8" t="s">
        <v>565</v>
      </c>
      <c r="C177" s="8" t="s">
        <v>566</v>
      </c>
      <c r="D177" s="9">
        <v>66880000</v>
      </c>
      <c r="E177" s="10">
        <v>45980</v>
      </c>
      <c r="F177" s="8" t="s">
        <v>532</v>
      </c>
      <c r="G177" s="2" t="s">
        <v>14</v>
      </c>
      <c r="H177" s="2" t="s">
        <v>15</v>
      </c>
      <c r="I177" s="2" t="s">
        <v>33</v>
      </c>
      <c r="J177" s="2" t="s">
        <v>17</v>
      </c>
      <c r="K177" s="2" t="s">
        <v>59</v>
      </c>
      <c r="L177" s="2" t="s">
        <v>109</v>
      </c>
      <c r="M177" s="2" t="s">
        <v>567</v>
      </c>
      <c r="N177" s="2" t="s">
        <v>109</v>
      </c>
      <c r="O177" s="2" t="s">
        <v>26</v>
      </c>
      <c r="P177" s="20" t="s">
        <v>27</v>
      </c>
    </row>
    <row r="178" spans="1:16" ht="156" x14ac:dyDescent="0.3">
      <c r="A178" s="33">
        <v>1</v>
      </c>
      <c r="B178" s="11">
        <v>2600007400</v>
      </c>
      <c r="C178" s="11" t="s">
        <v>568</v>
      </c>
      <c r="D178" s="22">
        <v>80000000</v>
      </c>
      <c r="E178" s="23" t="s">
        <v>569</v>
      </c>
      <c r="F178" s="28">
        <v>12</v>
      </c>
      <c r="G178" s="1" t="s">
        <v>123</v>
      </c>
      <c r="H178" s="1" t="s">
        <v>124</v>
      </c>
      <c r="I178" s="1" t="s">
        <v>125</v>
      </c>
      <c r="J178" s="1" t="s">
        <v>126</v>
      </c>
      <c r="K178" s="1" t="s">
        <v>18</v>
      </c>
      <c r="L178" s="1" t="s">
        <v>109</v>
      </c>
      <c r="M178" s="1" t="s">
        <v>9</v>
      </c>
      <c r="N178" s="1" t="s">
        <v>570</v>
      </c>
      <c r="O178" s="1" t="s">
        <v>26</v>
      </c>
      <c r="P178" s="21" t="s">
        <v>27</v>
      </c>
    </row>
    <row r="179" spans="1:16" ht="120" x14ac:dyDescent="0.3">
      <c r="A179" s="34">
        <v>2</v>
      </c>
      <c r="B179" s="8">
        <v>2600007336</v>
      </c>
      <c r="C179" s="8" t="s">
        <v>571</v>
      </c>
      <c r="D179" s="9">
        <v>100000000</v>
      </c>
      <c r="E179" s="10" t="s">
        <v>572</v>
      </c>
      <c r="F179" s="29">
        <v>12</v>
      </c>
      <c r="G179" s="2" t="s">
        <v>3</v>
      </c>
      <c r="H179" s="2" t="s">
        <v>4</v>
      </c>
      <c r="I179" s="2" t="s">
        <v>573</v>
      </c>
      <c r="J179" s="2" t="s">
        <v>126</v>
      </c>
      <c r="K179" s="2" t="s">
        <v>18</v>
      </c>
      <c r="L179" s="2" t="s">
        <v>109</v>
      </c>
      <c r="M179" s="2" t="s">
        <v>9</v>
      </c>
      <c r="N179" s="2" t="s">
        <v>574</v>
      </c>
      <c r="O179" s="2" t="s">
        <v>575</v>
      </c>
      <c r="P179" s="20" t="s">
        <v>72</v>
      </c>
    </row>
    <row r="180" spans="1:16" ht="156" x14ac:dyDescent="0.3">
      <c r="A180" s="33">
        <v>3</v>
      </c>
      <c r="B180" s="17">
        <v>2600007405</v>
      </c>
      <c r="C180" s="17" t="s">
        <v>576</v>
      </c>
      <c r="D180" s="18">
        <v>100000000</v>
      </c>
      <c r="E180" s="19" t="s">
        <v>569</v>
      </c>
      <c r="F180" s="28">
        <v>12</v>
      </c>
      <c r="G180" s="1" t="s">
        <v>123</v>
      </c>
      <c r="H180" s="1" t="s">
        <v>124</v>
      </c>
      <c r="I180" s="1" t="s">
        <v>125</v>
      </c>
      <c r="J180" s="1" t="s">
        <v>126</v>
      </c>
      <c r="K180" s="1" t="s">
        <v>18</v>
      </c>
      <c r="L180" s="1" t="s">
        <v>109</v>
      </c>
      <c r="M180" s="1" t="s">
        <v>9</v>
      </c>
      <c r="N180" s="1" t="s">
        <v>577</v>
      </c>
      <c r="O180" s="1" t="s">
        <v>578</v>
      </c>
      <c r="P180" s="21" t="s">
        <v>579</v>
      </c>
    </row>
    <row r="181" spans="1:16" ht="48" x14ac:dyDescent="0.3">
      <c r="A181" s="34">
        <v>4</v>
      </c>
      <c r="B181" s="8">
        <v>2600007404</v>
      </c>
      <c r="C181" s="8" t="s">
        <v>580</v>
      </c>
      <c r="D181" s="9">
        <v>100000000</v>
      </c>
      <c r="E181" s="10" t="s">
        <v>569</v>
      </c>
      <c r="F181" s="29">
        <v>12</v>
      </c>
      <c r="G181" s="2" t="s">
        <v>14</v>
      </c>
      <c r="H181" s="2" t="s">
        <v>57</v>
      </c>
      <c r="I181" s="2" t="s">
        <v>105</v>
      </c>
      <c r="J181" s="2" t="s">
        <v>126</v>
      </c>
      <c r="K181" s="2" t="s">
        <v>18</v>
      </c>
      <c r="L181" s="2" t="s">
        <v>109</v>
      </c>
      <c r="M181" s="2" t="s">
        <v>9</v>
      </c>
      <c r="N181" s="2" t="s">
        <v>581</v>
      </c>
      <c r="O181" s="2" t="s">
        <v>582</v>
      </c>
      <c r="P181" s="20" t="s">
        <v>249</v>
      </c>
    </row>
    <row r="182" spans="1:16" ht="60" x14ac:dyDescent="0.3">
      <c r="A182" s="33">
        <v>5</v>
      </c>
      <c r="B182" s="17">
        <v>2600007468</v>
      </c>
      <c r="C182" s="17" t="s">
        <v>583</v>
      </c>
      <c r="D182" s="18">
        <v>50000000</v>
      </c>
      <c r="E182" s="19" t="s">
        <v>569</v>
      </c>
      <c r="F182" s="28">
        <v>12</v>
      </c>
      <c r="G182" s="1" t="s">
        <v>14</v>
      </c>
      <c r="H182" s="1" t="s">
        <v>32</v>
      </c>
      <c r="I182" s="1" t="s">
        <v>33</v>
      </c>
      <c r="J182" s="1" t="s">
        <v>17</v>
      </c>
      <c r="K182" s="1" t="s">
        <v>18</v>
      </c>
      <c r="L182" s="1" t="s">
        <v>109</v>
      </c>
      <c r="M182" s="1" t="s">
        <v>9</v>
      </c>
      <c r="N182" s="1" t="s">
        <v>584</v>
      </c>
      <c r="O182" s="1" t="s">
        <v>585</v>
      </c>
      <c r="P182" s="21" t="s">
        <v>207</v>
      </c>
    </row>
    <row r="183" spans="1:16" ht="60" x14ac:dyDescent="0.3">
      <c r="A183" s="34">
        <v>6</v>
      </c>
      <c r="B183" s="8">
        <v>2600007310</v>
      </c>
      <c r="C183" s="8" t="s">
        <v>586</v>
      </c>
      <c r="D183" s="9">
        <v>80606400</v>
      </c>
      <c r="E183" s="10" t="s">
        <v>587</v>
      </c>
      <c r="F183" s="29">
        <v>12</v>
      </c>
      <c r="G183" s="2" t="s">
        <v>14</v>
      </c>
      <c r="H183" s="2" t="s">
        <v>165</v>
      </c>
      <c r="I183" s="2" t="s">
        <v>166</v>
      </c>
      <c r="J183" s="2" t="s">
        <v>17</v>
      </c>
      <c r="K183" s="2" t="s">
        <v>18</v>
      </c>
      <c r="L183" s="2" t="s">
        <v>192</v>
      </c>
      <c r="M183" s="2" t="s">
        <v>9</v>
      </c>
      <c r="N183" s="2" t="s">
        <v>588</v>
      </c>
      <c r="O183" s="2" t="s">
        <v>589</v>
      </c>
      <c r="P183" s="20" t="s">
        <v>27</v>
      </c>
    </row>
    <row r="184" spans="1:16" ht="60" x14ac:dyDescent="0.3">
      <c r="A184" s="33">
        <v>7</v>
      </c>
      <c r="B184" s="17">
        <v>2600007407</v>
      </c>
      <c r="C184" s="17" t="s">
        <v>590</v>
      </c>
      <c r="D184" s="18">
        <v>200000000</v>
      </c>
      <c r="E184" s="19" t="s">
        <v>569</v>
      </c>
      <c r="F184" s="28">
        <v>12</v>
      </c>
      <c r="G184" s="1" t="s">
        <v>123</v>
      </c>
      <c r="H184" s="1" t="s">
        <v>140</v>
      </c>
      <c r="I184" s="1" t="s">
        <v>241</v>
      </c>
      <c r="J184" s="1" t="s">
        <v>126</v>
      </c>
      <c r="K184" s="1" t="s">
        <v>18</v>
      </c>
      <c r="L184" s="1" t="s">
        <v>8</v>
      </c>
      <c r="M184" s="1" t="s">
        <v>9</v>
      </c>
      <c r="N184" s="1" t="s">
        <v>591</v>
      </c>
      <c r="O184" s="1" t="s">
        <v>405</v>
      </c>
      <c r="P184" s="21" t="s">
        <v>236</v>
      </c>
    </row>
    <row r="185" spans="1:16" ht="156" x14ac:dyDescent="0.3">
      <c r="A185" s="34">
        <v>8</v>
      </c>
      <c r="B185" s="8">
        <v>2600007155</v>
      </c>
      <c r="C185" s="8" t="s">
        <v>592</v>
      </c>
      <c r="D185" s="9">
        <v>150000000</v>
      </c>
      <c r="E185" s="10" t="s">
        <v>593</v>
      </c>
      <c r="F185" s="29">
        <v>12</v>
      </c>
      <c r="G185" s="2" t="s">
        <v>123</v>
      </c>
      <c r="H185" s="2" t="s">
        <v>124</v>
      </c>
      <c r="I185" s="2" t="s">
        <v>125</v>
      </c>
      <c r="J185" s="2" t="s">
        <v>126</v>
      </c>
      <c r="K185" s="2" t="s">
        <v>18</v>
      </c>
      <c r="L185" s="2" t="s">
        <v>109</v>
      </c>
      <c r="M185" s="2" t="s">
        <v>9</v>
      </c>
      <c r="N185" s="2" t="s">
        <v>594</v>
      </c>
      <c r="O185" s="2" t="s">
        <v>595</v>
      </c>
      <c r="P185" s="20" t="s">
        <v>61</v>
      </c>
    </row>
    <row r="186" spans="1:16" ht="72" x14ac:dyDescent="0.3">
      <c r="A186" s="33">
        <v>9</v>
      </c>
      <c r="B186" s="17">
        <v>2600007154</v>
      </c>
      <c r="C186" s="17" t="s">
        <v>596</v>
      </c>
      <c r="D186" s="18">
        <v>100000000</v>
      </c>
      <c r="E186" s="19" t="s">
        <v>593</v>
      </c>
      <c r="F186" s="28">
        <v>12</v>
      </c>
      <c r="G186" s="1" t="s">
        <v>123</v>
      </c>
      <c r="H186" s="1" t="s">
        <v>140</v>
      </c>
      <c r="I186" s="1" t="s">
        <v>597</v>
      </c>
      <c r="J186" s="1" t="s">
        <v>126</v>
      </c>
      <c r="K186" s="1" t="s">
        <v>18</v>
      </c>
      <c r="L186" s="1" t="s">
        <v>109</v>
      </c>
      <c r="M186" s="1" t="s">
        <v>9</v>
      </c>
      <c r="N186" s="1" t="s">
        <v>598</v>
      </c>
      <c r="O186" s="1" t="s">
        <v>599</v>
      </c>
      <c r="P186" s="21" t="s">
        <v>61</v>
      </c>
    </row>
    <row r="187" spans="1:16" ht="60" x14ac:dyDescent="0.3">
      <c r="A187" s="34">
        <v>10</v>
      </c>
      <c r="B187" s="8">
        <v>2600007337</v>
      </c>
      <c r="C187" s="8" t="s">
        <v>600</v>
      </c>
      <c r="D187" s="9">
        <v>250000000</v>
      </c>
      <c r="E187" s="10" t="s">
        <v>601</v>
      </c>
      <c r="F187" s="29">
        <v>12</v>
      </c>
      <c r="G187" s="2" t="s">
        <v>3</v>
      </c>
      <c r="H187" s="2" t="s">
        <v>4</v>
      </c>
      <c r="I187" s="2" t="s">
        <v>25</v>
      </c>
      <c r="J187" s="2" t="s">
        <v>6</v>
      </c>
      <c r="K187" s="2" t="s">
        <v>7</v>
      </c>
      <c r="L187" s="2" t="s">
        <v>602</v>
      </c>
      <c r="M187" s="2" t="s">
        <v>9</v>
      </c>
      <c r="N187" s="2" t="s">
        <v>603</v>
      </c>
      <c r="O187" s="2" t="s">
        <v>604</v>
      </c>
      <c r="P187" s="20" t="s">
        <v>37</v>
      </c>
    </row>
    <row r="188" spans="1:16" ht="156" x14ac:dyDescent="0.3">
      <c r="A188" s="33">
        <v>11</v>
      </c>
      <c r="B188" s="17">
        <v>2600007151</v>
      </c>
      <c r="C188" s="17" t="s">
        <v>605</v>
      </c>
      <c r="D188" s="18">
        <v>150000000</v>
      </c>
      <c r="E188" s="19" t="s">
        <v>593</v>
      </c>
      <c r="F188" s="28">
        <v>12</v>
      </c>
      <c r="G188" s="1" t="s">
        <v>123</v>
      </c>
      <c r="H188" s="1" t="s">
        <v>124</v>
      </c>
      <c r="I188" s="1" t="s">
        <v>125</v>
      </c>
      <c r="J188" s="1" t="s">
        <v>126</v>
      </c>
      <c r="K188" s="1" t="s">
        <v>18</v>
      </c>
      <c r="L188" s="1" t="s">
        <v>109</v>
      </c>
      <c r="M188" s="1" t="s">
        <v>9</v>
      </c>
      <c r="N188" s="1" t="s">
        <v>606</v>
      </c>
      <c r="O188" s="1" t="s">
        <v>607</v>
      </c>
      <c r="P188" s="21" t="s">
        <v>61</v>
      </c>
    </row>
    <row r="189" spans="1:16" ht="60" x14ac:dyDescent="0.3">
      <c r="A189" s="34">
        <v>12</v>
      </c>
      <c r="B189" s="8">
        <v>2600007152</v>
      </c>
      <c r="C189" s="8" t="s">
        <v>608</v>
      </c>
      <c r="D189" s="9">
        <v>150000000</v>
      </c>
      <c r="E189" s="10" t="s">
        <v>593</v>
      </c>
      <c r="F189" s="29">
        <v>12</v>
      </c>
      <c r="G189" s="2" t="s">
        <v>14</v>
      </c>
      <c r="H189" s="2" t="s">
        <v>57</v>
      </c>
      <c r="I189" s="2" t="s">
        <v>70</v>
      </c>
      <c r="J189" s="2" t="s">
        <v>17</v>
      </c>
      <c r="K189" s="2" t="s">
        <v>18</v>
      </c>
      <c r="L189" s="2" t="s">
        <v>109</v>
      </c>
      <c r="M189" s="2" t="s">
        <v>9</v>
      </c>
      <c r="N189" s="2" t="s">
        <v>609</v>
      </c>
      <c r="O189" s="2" t="s">
        <v>610</v>
      </c>
      <c r="P189" s="20" t="s">
        <v>37</v>
      </c>
    </row>
    <row r="190" spans="1:16" ht="156" x14ac:dyDescent="0.3">
      <c r="A190" s="33">
        <v>13</v>
      </c>
      <c r="B190" s="17">
        <v>2600007153</v>
      </c>
      <c r="C190" s="17" t="s">
        <v>611</v>
      </c>
      <c r="D190" s="18">
        <v>110000000</v>
      </c>
      <c r="E190" s="19" t="s">
        <v>593</v>
      </c>
      <c r="F190" s="28">
        <v>12</v>
      </c>
      <c r="G190" s="1" t="s">
        <v>123</v>
      </c>
      <c r="H190" s="1" t="s">
        <v>124</v>
      </c>
      <c r="I190" s="1" t="s">
        <v>125</v>
      </c>
      <c r="J190" s="1" t="s">
        <v>126</v>
      </c>
      <c r="K190" s="1" t="s">
        <v>18</v>
      </c>
      <c r="L190" s="1" t="s">
        <v>109</v>
      </c>
      <c r="M190" s="1" t="s">
        <v>9</v>
      </c>
      <c r="N190" s="1" t="s">
        <v>612</v>
      </c>
      <c r="O190" s="1" t="s">
        <v>85</v>
      </c>
      <c r="P190" s="21" t="s">
        <v>37</v>
      </c>
    </row>
    <row r="191" spans="1:16" ht="60" x14ac:dyDescent="0.3">
      <c r="A191" s="34">
        <v>14</v>
      </c>
      <c r="B191" s="8">
        <v>2600007225</v>
      </c>
      <c r="C191" s="8" t="s">
        <v>613</v>
      </c>
      <c r="D191" s="9">
        <v>10000000</v>
      </c>
      <c r="E191" s="10" t="s">
        <v>569</v>
      </c>
      <c r="F191" s="29">
        <v>12</v>
      </c>
      <c r="G191" s="2" t="s">
        <v>14</v>
      </c>
      <c r="H191" s="2" t="s">
        <v>165</v>
      </c>
      <c r="I191" s="2" t="s">
        <v>166</v>
      </c>
      <c r="J191" s="2" t="s">
        <v>17</v>
      </c>
      <c r="K191" s="2" t="s">
        <v>18</v>
      </c>
      <c r="L191" s="2" t="s">
        <v>34</v>
      </c>
      <c r="M191" s="2" t="s">
        <v>9</v>
      </c>
      <c r="N191" s="2" t="s">
        <v>614</v>
      </c>
      <c r="O191" s="2" t="s">
        <v>67</v>
      </c>
      <c r="P191" s="20" t="s">
        <v>27</v>
      </c>
    </row>
    <row r="192" spans="1:16" ht="120" x14ac:dyDescent="0.3">
      <c r="A192" s="33">
        <v>15</v>
      </c>
      <c r="B192" s="17">
        <v>2600007067</v>
      </c>
      <c r="C192" s="17" t="s">
        <v>615</v>
      </c>
      <c r="D192" s="18">
        <v>100000000</v>
      </c>
      <c r="E192" s="19" t="s">
        <v>616</v>
      </c>
      <c r="F192" s="28">
        <v>12</v>
      </c>
      <c r="G192" s="1" t="s">
        <v>3</v>
      </c>
      <c r="H192" s="1" t="s">
        <v>4</v>
      </c>
      <c r="I192" s="1" t="s">
        <v>573</v>
      </c>
      <c r="J192" s="1" t="s">
        <v>17</v>
      </c>
      <c r="K192" s="1" t="s">
        <v>18</v>
      </c>
      <c r="L192" s="1" t="s">
        <v>109</v>
      </c>
      <c r="M192" s="1" t="s">
        <v>9</v>
      </c>
      <c r="N192" s="1" t="s">
        <v>617</v>
      </c>
      <c r="O192" s="1" t="s">
        <v>618</v>
      </c>
      <c r="P192" s="21" t="s">
        <v>22</v>
      </c>
    </row>
    <row r="193" spans="1:16" ht="72" x14ac:dyDescent="0.3">
      <c r="A193" s="34">
        <v>16</v>
      </c>
      <c r="B193" s="8">
        <v>2600007059</v>
      </c>
      <c r="C193" s="8" t="s">
        <v>619</v>
      </c>
      <c r="D193" s="9">
        <v>100000000</v>
      </c>
      <c r="E193" s="10" t="s">
        <v>616</v>
      </c>
      <c r="F193" s="29">
        <v>12</v>
      </c>
      <c r="G193" s="2" t="s">
        <v>14</v>
      </c>
      <c r="H193" s="2" t="s">
        <v>57</v>
      </c>
      <c r="I193" s="2" t="s">
        <v>105</v>
      </c>
      <c r="J193" s="2" t="s">
        <v>126</v>
      </c>
      <c r="K193" s="2" t="s">
        <v>18</v>
      </c>
      <c r="L193" s="2" t="s">
        <v>109</v>
      </c>
      <c r="M193" s="2" t="s">
        <v>9</v>
      </c>
      <c r="N193" s="2" t="s">
        <v>620</v>
      </c>
      <c r="O193" s="2" t="s">
        <v>621</v>
      </c>
      <c r="P193" s="20" t="s">
        <v>22</v>
      </c>
    </row>
    <row r="194" spans="1:16" ht="60" x14ac:dyDescent="0.3">
      <c r="A194" s="33">
        <v>17</v>
      </c>
      <c r="B194" s="17">
        <v>2600007060</v>
      </c>
      <c r="C194" s="17" t="s">
        <v>622</v>
      </c>
      <c r="D194" s="18">
        <v>130000000</v>
      </c>
      <c r="E194" s="19" t="s">
        <v>616</v>
      </c>
      <c r="F194" s="28">
        <v>12</v>
      </c>
      <c r="G194" s="1" t="s">
        <v>123</v>
      </c>
      <c r="H194" s="1" t="s">
        <v>124</v>
      </c>
      <c r="I194" s="1" t="s">
        <v>623</v>
      </c>
      <c r="J194" s="1" t="s">
        <v>126</v>
      </c>
      <c r="K194" s="1" t="s">
        <v>18</v>
      </c>
      <c r="L194" s="1" t="s">
        <v>109</v>
      </c>
      <c r="M194" s="1" t="s">
        <v>9</v>
      </c>
      <c r="N194" s="1" t="s">
        <v>624</v>
      </c>
      <c r="O194" s="1" t="s">
        <v>288</v>
      </c>
      <c r="P194" s="21" t="s">
        <v>22</v>
      </c>
    </row>
    <row r="195" spans="1:16" ht="60" x14ac:dyDescent="0.3">
      <c r="A195" s="34">
        <v>18</v>
      </c>
      <c r="B195" s="8">
        <v>2600007061</v>
      </c>
      <c r="C195" s="8" t="s">
        <v>625</v>
      </c>
      <c r="D195" s="9">
        <v>150000000</v>
      </c>
      <c r="E195" s="10" t="s">
        <v>616</v>
      </c>
      <c r="F195" s="29">
        <v>12</v>
      </c>
      <c r="G195" s="2" t="s">
        <v>123</v>
      </c>
      <c r="H195" s="2" t="s">
        <v>124</v>
      </c>
      <c r="I195" s="2" t="s">
        <v>623</v>
      </c>
      <c r="J195" s="2" t="s">
        <v>126</v>
      </c>
      <c r="K195" s="2" t="s">
        <v>18</v>
      </c>
      <c r="L195" s="2" t="s">
        <v>109</v>
      </c>
      <c r="M195" s="2" t="s">
        <v>9</v>
      </c>
      <c r="N195" s="2" t="s">
        <v>626</v>
      </c>
      <c r="O195" s="2" t="s">
        <v>288</v>
      </c>
      <c r="P195" s="20" t="s">
        <v>22</v>
      </c>
    </row>
    <row r="196" spans="1:16" ht="120" x14ac:dyDescent="0.3">
      <c r="A196" s="33">
        <v>19</v>
      </c>
      <c r="B196" s="17">
        <v>2600007062</v>
      </c>
      <c r="C196" s="17" t="s">
        <v>627</v>
      </c>
      <c r="D196" s="18">
        <v>100000000</v>
      </c>
      <c r="E196" s="19" t="s">
        <v>616</v>
      </c>
      <c r="F196" s="28">
        <v>12</v>
      </c>
      <c r="G196" s="1" t="s">
        <v>14</v>
      </c>
      <c r="H196" s="1" t="s">
        <v>32</v>
      </c>
      <c r="I196" s="1" t="s">
        <v>573</v>
      </c>
      <c r="J196" s="1" t="s">
        <v>126</v>
      </c>
      <c r="K196" s="1" t="s">
        <v>18</v>
      </c>
      <c r="L196" s="1" t="s">
        <v>109</v>
      </c>
      <c r="M196" s="1" t="s">
        <v>9</v>
      </c>
      <c r="N196" s="1" t="s">
        <v>628</v>
      </c>
      <c r="O196" s="1" t="s">
        <v>312</v>
      </c>
      <c r="P196" s="21" t="s">
        <v>22</v>
      </c>
    </row>
    <row r="197" spans="1:16" ht="156" x14ac:dyDescent="0.3">
      <c r="A197" s="34">
        <v>20</v>
      </c>
      <c r="B197" s="8">
        <v>2600007064</v>
      </c>
      <c r="C197" s="8" t="s">
        <v>629</v>
      </c>
      <c r="D197" s="9">
        <v>100000000</v>
      </c>
      <c r="E197" s="10" t="s">
        <v>616</v>
      </c>
      <c r="F197" s="29">
        <v>12</v>
      </c>
      <c r="G197" s="2" t="s">
        <v>123</v>
      </c>
      <c r="H197" s="2" t="s">
        <v>124</v>
      </c>
      <c r="I197" s="2" t="s">
        <v>125</v>
      </c>
      <c r="J197" s="2" t="s">
        <v>126</v>
      </c>
      <c r="K197" s="2" t="s">
        <v>18</v>
      </c>
      <c r="L197" s="2" t="s">
        <v>109</v>
      </c>
      <c r="M197" s="2" t="s">
        <v>9</v>
      </c>
      <c r="N197" s="2" t="s">
        <v>630</v>
      </c>
      <c r="O197" s="2" t="s">
        <v>162</v>
      </c>
      <c r="P197" s="20" t="s">
        <v>22</v>
      </c>
    </row>
    <row r="198" spans="1:16" ht="156" x14ac:dyDescent="0.3">
      <c r="A198" s="33">
        <v>21</v>
      </c>
      <c r="B198" s="17">
        <v>2600007063</v>
      </c>
      <c r="C198" s="17" t="s">
        <v>631</v>
      </c>
      <c r="D198" s="18">
        <v>150000000</v>
      </c>
      <c r="E198" s="19" t="s">
        <v>616</v>
      </c>
      <c r="F198" s="28">
        <v>12</v>
      </c>
      <c r="G198" s="1" t="s">
        <v>123</v>
      </c>
      <c r="H198" s="1" t="s">
        <v>124</v>
      </c>
      <c r="I198" s="1" t="s">
        <v>125</v>
      </c>
      <c r="J198" s="1" t="s">
        <v>126</v>
      </c>
      <c r="K198" s="1" t="s">
        <v>18</v>
      </c>
      <c r="L198" s="1" t="s">
        <v>109</v>
      </c>
      <c r="M198" s="1" t="s">
        <v>9</v>
      </c>
      <c r="N198" s="1" t="s">
        <v>632</v>
      </c>
      <c r="O198" s="1" t="s">
        <v>607</v>
      </c>
      <c r="P198" s="21" t="s">
        <v>61</v>
      </c>
    </row>
    <row r="199" spans="1:16" ht="156" x14ac:dyDescent="0.3">
      <c r="A199" s="34">
        <v>22</v>
      </c>
      <c r="B199" s="8">
        <v>2600006920</v>
      </c>
      <c r="C199" s="8" t="s">
        <v>633</v>
      </c>
      <c r="D199" s="9">
        <v>82500000</v>
      </c>
      <c r="E199" s="10" t="s">
        <v>634</v>
      </c>
      <c r="F199" s="29">
        <v>12</v>
      </c>
      <c r="G199" s="2" t="s">
        <v>123</v>
      </c>
      <c r="H199" s="2" t="s">
        <v>124</v>
      </c>
      <c r="I199" s="2" t="s">
        <v>125</v>
      </c>
      <c r="J199" s="2" t="s">
        <v>126</v>
      </c>
      <c r="K199" s="2" t="s">
        <v>18</v>
      </c>
      <c r="L199" s="2" t="s">
        <v>8</v>
      </c>
      <c r="M199" s="2" t="s">
        <v>635</v>
      </c>
      <c r="N199" s="2" t="s">
        <v>636</v>
      </c>
      <c r="O199" s="2" t="s">
        <v>637</v>
      </c>
      <c r="P199" s="20" t="s">
        <v>98</v>
      </c>
    </row>
    <row r="200" spans="1:16" ht="156" x14ac:dyDescent="0.3">
      <c r="A200" s="33">
        <v>23</v>
      </c>
      <c r="B200" s="17">
        <v>2600006912</v>
      </c>
      <c r="C200" s="17" t="s">
        <v>638</v>
      </c>
      <c r="D200" s="18">
        <v>60000000</v>
      </c>
      <c r="E200" s="19" t="s">
        <v>639</v>
      </c>
      <c r="F200" s="28">
        <v>12</v>
      </c>
      <c r="G200" s="1" t="s">
        <v>123</v>
      </c>
      <c r="H200" s="1" t="s">
        <v>124</v>
      </c>
      <c r="I200" s="1" t="s">
        <v>125</v>
      </c>
      <c r="J200" s="1" t="s">
        <v>126</v>
      </c>
      <c r="K200" s="1" t="s">
        <v>18</v>
      </c>
      <c r="L200" s="1" t="s">
        <v>109</v>
      </c>
      <c r="M200" s="1" t="s">
        <v>9</v>
      </c>
      <c r="N200" s="1" t="s">
        <v>640</v>
      </c>
      <c r="O200" s="1" t="s">
        <v>291</v>
      </c>
      <c r="P200" s="21" t="s">
        <v>37</v>
      </c>
    </row>
    <row r="201" spans="1:16" ht="60" x14ac:dyDescent="0.3">
      <c r="A201" s="34">
        <v>24</v>
      </c>
      <c r="B201" s="8">
        <v>2600007229</v>
      </c>
      <c r="C201" s="8" t="s">
        <v>641</v>
      </c>
      <c r="D201" s="9">
        <v>18500000</v>
      </c>
      <c r="E201" s="10" t="s">
        <v>572</v>
      </c>
      <c r="F201" s="29">
        <v>12</v>
      </c>
      <c r="G201" s="2" t="s">
        <v>14</v>
      </c>
      <c r="H201" s="2" t="s">
        <v>32</v>
      </c>
      <c r="I201" s="2" t="s">
        <v>549</v>
      </c>
      <c r="J201" s="2" t="s">
        <v>17</v>
      </c>
      <c r="K201" s="2" t="s">
        <v>18</v>
      </c>
      <c r="L201" s="2" t="s">
        <v>8</v>
      </c>
      <c r="M201" s="2" t="s">
        <v>9</v>
      </c>
      <c r="N201" s="2" t="s">
        <v>439</v>
      </c>
      <c r="O201" s="2" t="s">
        <v>519</v>
      </c>
      <c r="P201" s="20" t="s">
        <v>72</v>
      </c>
    </row>
    <row r="202" spans="1:16" ht="60" x14ac:dyDescent="0.3">
      <c r="A202" s="33">
        <v>25</v>
      </c>
      <c r="B202" s="17">
        <v>2600007338</v>
      </c>
      <c r="C202" s="17" t="s">
        <v>642</v>
      </c>
      <c r="D202" s="18">
        <v>500000000</v>
      </c>
      <c r="E202" s="19" t="s">
        <v>569</v>
      </c>
      <c r="F202" s="28">
        <v>12</v>
      </c>
      <c r="G202" s="1" t="s">
        <v>3</v>
      </c>
      <c r="H202" s="1" t="s">
        <v>4</v>
      </c>
      <c r="I202" s="1" t="s">
        <v>25</v>
      </c>
      <c r="J202" s="1" t="s">
        <v>6</v>
      </c>
      <c r="K202" s="1" t="s">
        <v>7</v>
      </c>
      <c r="L202" s="1" t="s">
        <v>602</v>
      </c>
      <c r="M202" s="1" t="s">
        <v>9</v>
      </c>
      <c r="N202" s="1" t="s">
        <v>603</v>
      </c>
      <c r="O202" s="1" t="s">
        <v>177</v>
      </c>
      <c r="P202" s="21" t="s">
        <v>27</v>
      </c>
    </row>
    <row r="203" spans="1:16" ht="60" x14ac:dyDescent="0.3">
      <c r="A203" s="34">
        <v>26</v>
      </c>
      <c r="B203" s="8">
        <v>2600006883</v>
      </c>
      <c r="C203" s="8" t="s">
        <v>643</v>
      </c>
      <c r="D203" s="9">
        <v>36750000</v>
      </c>
      <c r="E203" s="10" t="s">
        <v>644</v>
      </c>
      <c r="F203" s="29">
        <v>12</v>
      </c>
      <c r="G203" s="2" t="s">
        <v>14</v>
      </c>
      <c r="H203" s="2" t="s">
        <v>32</v>
      </c>
      <c r="I203" s="2" t="s">
        <v>33</v>
      </c>
      <c r="J203" s="2" t="s">
        <v>17</v>
      </c>
      <c r="K203" s="2" t="s">
        <v>18</v>
      </c>
      <c r="L203" s="2" t="s">
        <v>153</v>
      </c>
      <c r="M203" s="2" t="s">
        <v>35</v>
      </c>
      <c r="N203" s="2" t="s">
        <v>645</v>
      </c>
      <c r="O203" s="2" t="s">
        <v>358</v>
      </c>
      <c r="P203" s="20" t="s">
        <v>113</v>
      </c>
    </row>
    <row r="204" spans="1:16" ht="84" x14ac:dyDescent="0.3">
      <c r="A204" s="33">
        <v>27</v>
      </c>
      <c r="B204" s="17">
        <v>2600006759</v>
      </c>
      <c r="C204" s="17" t="s">
        <v>646</v>
      </c>
      <c r="D204" s="18">
        <v>3500000</v>
      </c>
      <c r="E204" s="19" t="s">
        <v>647</v>
      </c>
      <c r="F204" s="28">
        <v>12</v>
      </c>
      <c r="G204" s="1" t="s">
        <v>14</v>
      </c>
      <c r="H204" s="1" t="s">
        <v>32</v>
      </c>
      <c r="I204" s="1" t="s">
        <v>33</v>
      </c>
      <c r="J204" s="1" t="s">
        <v>17</v>
      </c>
      <c r="K204" s="1" t="s">
        <v>18</v>
      </c>
      <c r="L204" s="1" t="s">
        <v>648</v>
      </c>
      <c r="M204" s="1" t="s">
        <v>649</v>
      </c>
      <c r="N204" s="1" t="s">
        <v>650</v>
      </c>
      <c r="O204" s="1" t="s">
        <v>651</v>
      </c>
      <c r="P204" s="21" t="s">
        <v>181</v>
      </c>
    </row>
    <row r="205" spans="1:16" ht="60" x14ac:dyDescent="0.3">
      <c r="A205" s="34">
        <v>28</v>
      </c>
      <c r="B205" s="8">
        <v>2600007320</v>
      </c>
      <c r="C205" s="8" t="s">
        <v>652</v>
      </c>
      <c r="D205" s="9">
        <v>3830254</v>
      </c>
      <c r="E205" s="10" t="s">
        <v>572</v>
      </c>
      <c r="F205" s="29">
        <v>12</v>
      </c>
      <c r="G205" s="2" t="s">
        <v>14</v>
      </c>
      <c r="H205" s="2" t="s">
        <v>32</v>
      </c>
      <c r="I205" s="2" t="s">
        <v>33</v>
      </c>
      <c r="J205" s="2" t="s">
        <v>17</v>
      </c>
      <c r="K205" s="2" t="s">
        <v>18</v>
      </c>
      <c r="L205" s="2" t="s">
        <v>648</v>
      </c>
      <c r="M205" s="2" t="s">
        <v>649</v>
      </c>
      <c r="N205" s="2" t="s">
        <v>650</v>
      </c>
      <c r="O205" s="2" t="s">
        <v>651</v>
      </c>
      <c r="P205" s="20" t="s">
        <v>181</v>
      </c>
    </row>
    <row r="206" spans="1:16" ht="72" x14ac:dyDescent="0.3">
      <c r="A206" s="33">
        <v>29</v>
      </c>
      <c r="B206" s="17">
        <v>2600006790</v>
      </c>
      <c r="C206" s="17" t="s">
        <v>653</v>
      </c>
      <c r="D206" s="18">
        <v>20400000</v>
      </c>
      <c r="E206" s="19" t="s">
        <v>654</v>
      </c>
      <c r="F206" s="28">
        <v>12</v>
      </c>
      <c r="G206" s="1" t="s">
        <v>3</v>
      </c>
      <c r="H206" s="1" t="s">
        <v>4</v>
      </c>
      <c r="I206" s="1" t="s">
        <v>5</v>
      </c>
      <c r="J206" s="1" t="s">
        <v>6</v>
      </c>
      <c r="K206" s="1" t="s">
        <v>7</v>
      </c>
      <c r="L206" s="1" t="s">
        <v>399</v>
      </c>
      <c r="M206" s="1" t="s">
        <v>9</v>
      </c>
      <c r="N206" s="1" t="s">
        <v>655</v>
      </c>
      <c r="O206" s="1" t="s">
        <v>26</v>
      </c>
      <c r="P206" s="21" t="s">
        <v>27</v>
      </c>
    </row>
    <row r="207" spans="1:16" ht="156" x14ac:dyDescent="0.3">
      <c r="A207" s="34">
        <v>30</v>
      </c>
      <c r="B207" s="8">
        <v>2600005489</v>
      </c>
      <c r="C207" s="8" t="s">
        <v>526</v>
      </c>
      <c r="D207" s="9">
        <v>10000000</v>
      </c>
      <c r="E207" s="10" t="s">
        <v>656</v>
      </c>
      <c r="F207" s="29">
        <v>12</v>
      </c>
      <c r="G207" s="2" t="s">
        <v>123</v>
      </c>
      <c r="H207" s="2" t="s">
        <v>124</v>
      </c>
      <c r="I207" s="2" t="s">
        <v>125</v>
      </c>
      <c r="J207" s="2" t="s">
        <v>126</v>
      </c>
      <c r="K207" s="2" t="s">
        <v>18</v>
      </c>
      <c r="L207" s="2" t="s">
        <v>153</v>
      </c>
      <c r="M207" s="2" t="s">
        <v>35</v>
      </c>
      <c r="N207" s="2" t="s">
        <v>657</v>
      </c>
      <c r="O207" s="2" t="s">
        <v>454</v>
      </c>
      <c r="P207" s="20" t="s">
        <v>22</v>
      </c>
    </row>
    <row r="208" spans="1:16" ht="60" x14ac:dyDescent="0.3">
      <c r="A208" s="33">
        <v>31</v>
      </c>
      <c r="B208" s="30">
        <v>1100043619</v>
      </c>
      <c r="C208" s="17" t="s">
        <v>658</v>
      </c>
      <c r="D208" s="18">
        <v>20000000</v>
      </c>
      <c r="E208" s="19"/>
      <c r="F208" s="28">
        <v>12</v>
      </c>
      <c r="G208" s="1" t="s">
        <v>14</v>
      </c>
      <c r="H208" s="1" t="s">
        <v>32</v>
      </c>
      <c r="I208" s="1" t="s">
        <v>549</v>
      </c>
      <c r="J208" s="1" t="s">
        <v>17</v>
      </c>
      <c r="K208" s="1" t="s">
        <v>18</v>
      </c>
      <c r="L208" s="1" t="s">
        <v>109</v>
      </c>
      <c r="M208" s="1" t="s">
        <v>659</v>
      </c>
      <c r="N208" s="1" t="s">
        <v>660</v>
      </c>
      <c r="O208" s="1" t="s">
        <v>274</v>
      </c>
      <c r="P208" s="21" t="s">
        <v>22</v>
      </c>
    </row>
    <row r="209" spans="1:16" ht="156" x14ac:dyDescent="0.3">
      <c r="A209" s="34">
        <v>32</v>
      </c>
      <c r="B209" s="8" t="s">
        <v>661</v>
      </c>
      <c r="C209" s="8" t="s">
        <v>662</v>
      </c>
      <c r="D209" s="9">
        <v>50000000</v>
      </c>
      <c r="E209" s="10"/>
      <c r="F209" s="29">
        <v>12</v>
      </c>
      <c r="G209" s="2" t="s">
        <v>123</v>
      </c>
      <c r="H209" s="2" t="s">
        <v>124</v>
      </c>
      <c r="I209" s="2" t="s">
        <v>125</v>
      </c>
      <c r="J209" s="2" t="s">
        <v>126</v>
      </c>
      <c r="K209" s="2" t="s">
        <v>18</v>
      </c>
      <c r="L209" s="2" t="s">
        <v>109</v>
      </c>
      <c r="M209" s="2"/>
      <c r="N209" s="2"/>
      <c r="O209" s="2" t="s">
        <v>67</v>
      </c>
      <c r="P209" s="20" t="s">
        <v>27</v>
      </c>
    </row>
    <row r="210" spans="1:16" ht="60" x14ac:dyDescent="0.3">
      <c r="A210" s="33">
        <v>33</v>
      </c>
      <c r="B210" s="17" t="s">
        <v>663</v>
      </c>
      <c r="C210" s="17" t="s">
        <v>664</v>
      </c>
      <c r="D210" s="18">
        <v>39273290</v>
      </c>
      <c r="E210" s="19"/>
      <c r="F210" s="28">
        <v>12</v>
      </c>
      <c r="G210" s="1" t="s">
        <v>14</v>
      </c>
      <c r="H210" s="1" t="s">
        <v>32</v>
      </c>
      <c r="I210" s="1" t="s">
        <v>33</v>
      </c>
      <c r="J210" s="1" t="s">
        <v>17</v>
      </c>
      <c r="K210" s="1" t="s">
        <v>18</v>
      </c>
      <c r="L210" s="1" t="s">
        <v>153</v>
      </c>
      <c r="M210" s="1"/>
      <c r="N210" s="1"/>
      <c r="O210" s="1" t="s">
        <v>665</v>
      </c>
      <c r="P210" s="21" t="s">
        <v>666</v>
      </c>
    </row>
    <row r="211" spans="1:16" ht="84" x14ac:dyDescent="0.3">
      <c r="A211" s="34">
        <v>34</v>
      </c>
      <c r="B211" s="8" t="s">
        <v>667</v>
      </c>
      <c r="C211" s="8" t="s">
        <v>668</v>
      </c>
      <c r="D211" s="9">
        <v>49998465</v>
      </c>
      <c r="E211" s="10"/>
      <c r="F211" s="29">
        <v>12</v>
      </c>
      <c r="G211" s="2" t="s">
        <v>14</v>
      </c>
      <c r="H211" s="2" t="s">
        <v>32</v>
      </c>
      <c r="I211" s="2" t="s">
        <v>33</v>
      </c>
      <c r="J211" s="2" t="s">
        <v>17</v>
      </c>
      <c r="K211" s="2" t="s">
        <v>18</v>
      </c>
      <c r="L211" s="2" t="s">
        <v>153</v>
      </c>
      <c r="M211" s="2"/>
      <c r="N211" s="2"/>
      <c r="O211" s="2" t="s">
        <v>669</v>
      </c>
      <c r="P211" s="20" t="s">
        <v>72</v>
      </c>
    </row>
    <row r="212" spans="1:16" ht="108" x14ac:dyDescent="0.3">
      <c r="A212" s="33">
        <v>35</v>
      </c>
      <c r="B212" s="17" t="s">
        <v>670</v>
      </c>
      <c r="C212" s="17" t="s">
        <v>671</v>
      </c>
      <c r="D212" s="18">
        <v>10000000</v>
      </c>
      <c r="E212" s="19"/>
      <c r="F212" s="28">
        <v>12</v>
      </c>
      <c r="G212" s="1" t="s">
        <v>14</v>
      </c>
      <c r="H212" s="1" t="s">
        <v>32</v>
      </c>
      <c r="I212" s="1" t="s">
        <v>58</v>
      </c>
      <c r="J212" s="1" t="s">
        <v>17</v>
      </c>
      <c r="K212" s="1" t="s">
        <v>18</v>
      </c>
      <c r="L212" s="1" t="s">
        <v>192</v>
      </c>
      <c r="M212" s="1"/>
      <c r="N212" s="1"/>
      <c r="O212" s="1" t="s">
        <v>324</v>
      </c>
      <c r="P212" s="21" t="s">
        <v>249</v>
      </c>
    </row>
    <row r="213" spans="1:16" ht="48" x14ac:dyDescent="0.3">
      <c r="A213" s="34">
        <v>36</v>
      </c>
      <c r="B213" s="8" t="s">
        <v>672</v>
      </c>
      <c r="C213" s="8" t="s">
        <v>673</v>
      </c>
      <c r="D213" s="9">
        <v>10000000</v>
      </c>
      <c r="E213" s="10"/>
      <c r="F213" s="29">
        <v>12</v>
      </c>
      <c r="G213" s="2" t="s">
        <v>14</v>
      </c>
      <c r="H213" s="2" t="s">
        <v>57</v>
      </c>
      <c r="I213" s="2" t="s">
        <v>70</v>
      </c>
      <c r="J213" s="2" t="s">
        <v>17</v>
      </c>
      <c r="K213" s="2" t="s">
        <v>18</v>
      </c>
      <c r="L213" s="2" t="s">
        <v>674</v>
      </c>
      <c r="M213" s="2"/>
      <c r="N213" s="2"/>
      <c r="O213" s="2" t="s">
        <v>675</v>
      </c>
      <c r="P213" s="20" t="s">
        <v>676</v>
      </c>
    </row>
    <row r="214" spans="1:16" ht="60" x14ac:dyDescent="0.3">
      <c r="A214" s="33">
        <v>37</v>
      </c>
      <c r="B214" s="17" t="s">
        <v>677</v>
      </c>
      <c r="C214" s="17" t="s">
        <v>678</v>
      </c>
      <c r="D214" s="18">
        <v>500000</v>
      </c>
      <c r="E214" s="19"/>
      <c r="F214" s="28">
        <v>12</v>
      </c>
      <c r="G214" s="1" t="s">
        <v>14</v>
      </c>
      <c r="H214" s="1" t="s">
        <v>32</v>
      </c>
      <c r="I214" s="1" t="s">
        <v>33</v>
      </c>
      <c r="J214" s="1" t="s">
        <v>17</v>
      </c>
      <c r="K214" s="1" t="s">
        <v>18</v>
      </c>
      <c r="L214" s="1" t="s">
        <v>153</v>
      </c>
      <c r="M214" s="1"/>
      <c r="N214" s="1"/>
      <c r="O214" s="1" t="s">
        <v>358</v>
      </c>
      <c r="P214" s="21" t="s">
        <v>113</v>
      </c>
    </row>
    <row r="215" spans="1:16" ht="72" x14ac:dyDescent="0.3">
      <c r="A215" s="34">
        <v>38</v>
      </c>
      <c r="B215" s="8" t="s">
        <v>679</v>
      </c>
      <c r="C215" s="8" t="s">
        <v>680</v>
      </c>
      <c r="D215" s="9">
        <v>28429576</v>
      </c>
      <c r="E215" s="10"/>
      <c r="F215" s="29">
        <v>12</v>
      </c>
      <c r="G215" s="2" t="s">
        <v>14</v>
      </c>
      <c r="H215" s="2" t="s">
        <v>32</v>
      </c>
      <c r="I215" s="2" t="s">
        <v>549</v>
      </c>
      <c r="J215" s="2" t="s">
        <v>17</v>
      </c>
      <c r="K215" s="2" t="s">
        <v>18</v>
      </c>
      <c r="L215" s="2" t="s">
        <v>153</v>
      </c>
      <c r="M215" s="2"/>
      <c r="N215" s="2"/>
      <c r="O215" s="2" t="s">
        <v>681</v>
      </c>
      <c r="P215" s="20" t="s">
        <v>682</v>
      </c>
    </row>
    <row r="216" spans="1:16" ht="96" x14ac:dyDescent="0.3">
      <c r="A216" s="33">
        <v>39</v>
      </c>
      <c r="B216" s="17" t="s">
        <v>683</v>
      </c>
      <c r="C216" s="17" t="s">
        <v>684</v>
      </c>
      <c r="D216" s="18">
        <v>243637475</v>
      </c>
      <c r="E216" s="19"/>
      <c r="F216" s="28">
        <v>12</v>
      </c>
      <c r="G216" s="1" t="s">
        <v>14</v>
      </c>
      <c r="H216" s="1" t="s">
        <v>57</v>
      </c>
      <c r="I216" s="1" t="s">
        <v>105</v>
      </c>
      <c r="J216" s="1" t="s">
        <v>126</v>
      </c>
      <c r="K216" s="1" t="s">
        <v>18</v>
      </c>
      <c r="L216" s="1" t="s">
        <v>685</v>
      </c>
      <c r="M216" s="1" t="s">
        <v>35</v>
      </c>
      <c r="N216" s="1"/>
      <c r="O216" s="1" t="s">
        <v>686</v>
      </c>
      <c r="P216" s="21" t="s">
        <v>280</v>
      </c>
    </row>
    <row r="217" spans="1:16" ht="96" x14ac:dyDescent="0.3">
      <c r="A217" s="34">
        <v>40</v>
      </c>
      <c r="B217" s="8" t="s">
        <v>687</v>
      </c>
      <c r="C217" s="8" t="s">
        <v>688</v>
      </c>
      <c r="D217" s="9">
        <v>15036150</v>
      </c>
      <c r="E217" s="10"/>
      <c r="F217" s="29">
        <v>12</v>
      </c>
      <c r="G217" s="2" t="s">
        <v>14</v>
      </c>
      <c r="H217" s="2" t="s">
        <v>32</v>
      </c>
      <c r="I217" s="2" t="s">
        <v>549</v>
      </c>
      <c r="J217" s="2" t="s">
        <v>17</v>
      </c>
      <c r="K217" s="2" t="s">
        <v>18</v>
      </c>
      <c r="L217" s="2" t="s">
        <v>689</v>
      </c>
      <c r="M217" s="2" t="s">
        <v>690</v>
      </c>
      <c r="N217" s="2"/>
      <c r="O217" s="20" t="s">
        <v>691</v>
      </c>
      <c r="P217" s="20" t="s">
        <v>692</v>
      </c>
    </row>
    <row r="218" spans="1:16" ht="108" x14ac:dyDescent="0.3">
      <c r="A218" s="33">
        <v>41</v>
      </c>
      <c r="B218" s="17" t="s">
        <v>693</v>
      </c>
      <c r="C218" s="17" t="s">
        <v>694</v>
      </c>
      <c r="D218" s="18">
        <v>134777500</v>
      </c>
      <c r="E218" s="19"/>
      <c r="F218" s="28">
        <v>12</v>
      </c>
      <c r="G218" s="1" t="s">
        <v>14</v>
      </c>
      <c r="H218" s="1" t="s">
        <v>32</v>
      </c>
      <c r="I218" s="1" t="s">
        <v>58</v>
      </c>
      <c r="J218" s="1" t="s">
        <v>17</v>
      </c>
      <c r="K218" s="1" t="s">
        <v>18</v>
      </c>
      <c r="L218" s="1" t="s">
        <v>34</v>
      </c>
      <c r="M218" s="1" t="s">
        <v>9</v>
      </c>
      <c r="N218" s="1" t="s">
        <v>439</v>
      </c>
      <c r="O218" s="1" t="s">
        <v>26</v>
      </c>
      <c r="P218" s="21" t="s">
        <v>27</v>
      </c>
    </row>
    <row r="219" spans="1:16" ht="108" x14ac:dyDescent="0.3">
      <c r="A219" s="34">
        <v>42</v>
      </c>
      <c r="B219" s="8" t="s">
        <v>695</v>
      </c>
      <c r="C219" s="8" t="s">
        <v>696</v>
      </c>
      <c r="D219" s="9">
        <v>96052000</v>
      </c>
      <c r="E219" s="10"/>
      <c r="F219" s="29">
        <v>12</v>
      </c>
      <c r="G219" s="2" t="s">
        <v>14</v>
      </c>
      <c r="H219" s="2" t="s">
        <v>32</v>
      </c>
      <c r="I219" s="2" t="s">
        <v>58</v>
      </c>
      <c r="J219" s="2" t="s">
        <v>17</v>
      </c>
      <c r="K219" s="2" t="s">
        <v>18</v>
      </c>
      <c r="L219" s="2" t="s">
        <v>34</v>
      </c>
      <c r="M219" s="2" t="s">
        <v>9</v>
      </c>
      <c r="N219" s="2" t="s">
        <v>439</v>
      </c>
      <c r="O219" s="2" t="s">
        <v>26</v>
      </c>
      <c r="P219" s="20" t="s">
        <v>27</v>
      </c>
    </row>
    <row r="220" spans="1:16" ht="96" x14ac:dyDescent="0.3">
      <c r="A220" s="33">
        <v>43</v>
      </c>
      <c r="B220" s="17" t="s">
        <v>697</v>
      </c>
      <c r="C220" s="17" t="s">
        <v>698</v>
      </c>
      <c r="D220" s="18">
        <v>985912162</v>
      </c>
      <c r="E220" s="19"/>
      <c r="F220" s="28">
        <v>12</v>
      </c>
      <c r="G220" s="1" t="s">
        <v>14</v>
      </c>
      <c r="H220" s="1" t="s">
        <v>32</v>
      </c>
      <c r="I220" s="1" t="s">
        <v>16</v>
      </c>
      <c r="J220" s="1" t="s">
        <v>17</v>
      </c>
      <c r="K220" s="1" t="s">
        <v>18</v>
      </c>
      <c r="L220" s="1" t="s">
        <v>109</v>
      </c>
      <c r="M220" s="1" t="s">
        <v>109</v>
      </c>
      <c r="N220" s="1" t="s">
        <v>109</v>
      </c>
      <c r="O220" s="1"/>
      <c r="P220" s="21" t="s">
        <v>699</v>
      </c>
    </row>
    <row r="221" spans="1:16" ht="60" x14ac:dyDescent="0.3">
      <c r="A221" s="34">
        <v>44</v>
      </c>
      <c r="B221" s="8" t="s">
        <v>700</v>
      </c>
      <c r="C221" s="8" t="s">
        <v>701</v>
      </c>
      <c r="D221" s="9">
        <v>50000000</v>
      </c>
      <c r="E221" s="10"/>
      <c r="F221" s="29">
        <v>12</v>
      </c>
      <c r="G221" s="2" t="s">
        <v>14</v>
      </c>
      <c r="H221" s="2" t="s">
        <v>32</v>
      </c>
      <c r="I221" s="2" t="s">
        <v>549</v>
      </c>
      <c r="J221" s="2" t="s">
        <v>126</v>
      </c>
      <c r="K221" s="2" t="s">
        <v>127</v>
      </c>
      <c r="L221" s="2" t="s">
        <v>128</v>
      </c>
      <c r="M221" s="2" t="s">
        <v>702</v>
      </c>
      <c r="N221" s="2"/>
      <c r="O221" s="20" t="s">
        <v>703</v>
      </c>
      <c r="P221" s="20" t="s">
        <v>98</v>
      </c>
    </row>
    <row r="222" spans="1:16" ht="72" x14ac:dyDescent="0.3">
      <c r="A222" s="33">
        <v>45</v>
      </c>
      <c r="B222" s="17" t="s">
        <v>704</v>
      </c>
      <c r="C222" s="17" t="s">
        <v>705</v>
      </c>
      <c r="D222" s="18">
        <v>50000000</v>
      </c>
      <c r="E222" s="19"/>
      <c r="F222" s="28">
        <v>12</v>
      </c>
      <c r="G222" s="1" t="s">
        <v>14</v>
      </c>
      <c r="H222" s="1" t="s">
        <v>57</v>
      </c>
      <c r="I222" s="1" t="s">
        <v>105</v>
      </c>
      <c r="J222" s="1" t="s">
        <v>126</v>
      </c>
      <c r="K222" s="1" t="s">
        <v>127</v>
      </c>
      <c r="L222" s="1" t="s">
        <v>128</v>
      </c>
      <c r="M222" s="1" t="s">
        <v>702</v>
      </c>
      <c r="N222" s="1"/>
      <c r="O222" s="21" t="s">
        <v>703</v>
      </c>
      <c r="P222" s="21" t="s">
        <v>98</v>
      </c>
    </row>
    <row r="223" spans="1:16" ht="156" x14ac:dyDescent="0.3">
      <c r="A223" s="34">
        <v>46</v>
      </c>
      <c r="B223" s="8" t="s">
        <v>706</v>
      </c>
      <c r="C223" s="8" t="s">
        <v>707</v>
      </c>
      <c r="D223" s="9">
        <v>50000000</v>
      </c>
      <c r="E223" s="10"/>
      <c r="F223" s="29">
        <v>12</v>
      </c>
      <c r="G223" s="2" t="s">
        <v>123</v>
      </c>
      <c r="H223" s="2" t="s">
        <v>124</v>
      </c>
      <c r="I223" s="2" t="s">
        <v>125</v>
      </c>
      <c r="J223" s="2" t="s">
        <v>126</v>
      </c>
      <c r="K223" s="2" t="s">
        <v>127</v>
      </c>
      <c r="L223" s="2" t="s">
        <v>128</v>
      </c>
      <c r="M223" s="2" t="s">
        <v>702</v>
      </c>
      <c r="N223" s="2"/>
      <c r="O223" s="20" t="s">
        <v>708</v>
      </c>
      <c r="P223" s="20" t="s">
        <v>98</v>
      </c>
    </row>
    <row r="224" spans="1:16" ht="72" x14ac:dyDescent="0.3">
      <c r="A224" s="33">
        <v>47</v>
      </c>
      <c r="B224" s="11" t="s">
        <v>709</v>
      </c>
      <c r="C224" s="11" t="s">
        <v>710</v>
      </c>
      <c r="D224" s="22">
        <v>50000000</v>
      </c>
      <c r="E224" s="23"/>
      <c r="F224" s="28">
        <v>12</v>
      </c>
      <c r="G224" s="1" t="s">
        <v>14</v>
      </c>
      <c r="H224" s="1" t="s">
        <v>57</v>
      </c>
      <c r="I224" s="1" t="s">
        <v>105</v>
      </c>
      <c r="J224" s="1" t="s">
        <v>126</v>
      </c>
      <c r="K224" s="1" t="s">
        <v>127</v>
      </c>
      <c r="L224" s="1" t="s">
        <v>128</v>
      </c>
      <c r="M224" s="1" t="s">
        <v>702</v>
      </c>
      <c r="N224" s="1"/>
      <c r="O224" s="21" t="s">
        <v>703</v>
      </c>
      <c r="P224" s="21" t="s">
        <v>98</v>
      </c>
    </row>
    <row r="225" spans="1:16" ht="60" x14ac:dyDescent="0.3">
      <c r="A225" s="34">
        <v>48</v>
      </c>
      <c r="B225" s="12" t="s">
        <v>711</v>
      </c>
      <c r="C225" s="16" t="s">
        <v>712</v>
      </c>
      <c r="D225" s="24">
        <v>50000000</v>
      </c>
      <c r="E225" s="27"/>
      <c r="F225" s="29">
        <v>12</v>
      </c>
      <c r="G225" s="2" t="s">
        <v>14</v>
      </c>
      <c r="H225" s="2" t="s">
        <v>57</v>
      </c>
      <c r="I225" s="2" t="s">
        <v>105</v>
      </c>
      <c r="J225" s="2" t="s">
        <v>126</v>
      </c>
      <c r="K225" s="2" t="s">
        <v>127</v>
      </c>
      <c r="L225" s="2" t="s">
        <v>128</v>
      </c>
      <c r="M225" s="2" t="s">
        <v>702</v>
      </c>
      <c r="N225" s="2"/>
      <c r="O225" s="2" t="s">
        <v>713</v>
      </c>
      <c r="P225" s="20" t="s">
        <v>98</v>
      </c>
    </row>
    <row r="226" spans="1:16" ht="156" x14ac:dyDescent="0.3">
      <c r="A226" s="33">
        <v>49</v>
      </c>
      <c r="B226" s="11" t="s">
        <v>714</v>
      </c>
      <c r="C226" s="17" t="s">
        <v>715</v>
      </c>
      <c r="D226" s="18">
        <v>50000000</v>
      </c>
      <c r="E226" s="26"/>
      <c r="F226" s="28">
        <v>12</v>
      </c>
      <c r="G226" s="1" t="s">
        <v>123</v>
      </c>
      <c r="H226" s="1" t="s">
        <v>124</v>
      </c>
      <c r="I226" s="1" t="s">
        <v>125</v>
      </c>
      <c r="J226" s="1" t="s">
        <v>126</v>
      </c>
      <c r="K226" s="1" t="s">
        <v>127</v>
      </c>
      <c r="L226" s="1" t="s">
        <v>128</v>
      </c>
      <c r="M226" s="1" t="s">
        <v>702</v>
      </c>
      <c r="N226" s="1"/>
      <c r="O226" s="21" t="s">
        <v>716</v>
      </c>
      <c r="P226" s="21" t="s">
        <v>98</v>
      </c>
    </row>
    <row r="227" spans="1:16" ht="156" x14ac:dyDescent="0.3">
      <c r="A227" s="34">
        <v>50</v>
      </c>
      <c r="B227" s="12" t="s">
        <v>717</v>
      </c>
      <c r="C227" s="8" t="s">
        <v>718</v>
      </c>
      <c r="D227" s="9">
        <v>50000000</v>
      </c>
      <c r="E227" s="27"/>
      <c r="F227" s="29">
        <v>12</v>
      </c>
      <c r="G227" s="2" t="s">
        <v>123</v>
      </c>
      <c r="H227" s="2" t="s">
        <v>140</v>
      </c>
      <c r="I227" s="2" t="s">
        <v>125</v>
      </c>
      <c r="J227" s="2" t="s">
        <v>126</v>
      </c>
      <c r="K227" s="2" t="s">
        <v>127</v>
      </c>
      <c r="L227" s="2" t="s">
        <v>128</v>
      </c>
      <c r="M227" s="2" t="s">
        <v>702</v>
      </c>
      <c r="N227" s="2"/>
      <c r="O227" s="20" t="s">
        <v>716</v>
      </c>
      <c r="P227" s="20" t="s">
        <v>98</v>
      </c>
    </row>
    <row r="228" spans="1:16" ht="120" x14ac:dyDescent="0.3">
      <c r="A228" s="33">
        <v>51</v>
      </c>
      <c r="B228" s="11" t="s">
        <v>719</v>
      </c>
      <c r="C228" s="11" t="s">
        <v>720</v>
      </c>
      <c r="D228" s="22">
        <v>50000000</v>
      </c>
      <c r="E228" s="26"/>
      <c r="F228" s="28">
        <v>12</v>
      </c>
      <c r="G228" s="1" t="s">
        <v>3</v>
      </c>
      <c r="H228" s="1" t="s">
        <v>4</v>
      </c>
      <c r="I228" s="1" t="s">
        <v>573</v>
      </c>
      <c r="J228" s="1" t="s">
        <v>126</v>
      </c>
      <c r="K228" s="1" t="s">
        <v>127</v>
      </c>
      <c r="L228" s="1" t="s">
        <v>128</v>
      </c>
      <c r="M228" s="1" t="s">
        <v>702</v>
      </c>
      <c r="N228" s="1"/>
      <c r="O228" s="21" t="s">
        <v>703</v>
      </c>
      <c r="P228" s="21" t="s">
        <v>98</v>
      </c>
    </row>
    <row r="229" spans="1:16" ht="156" x14ac:dyDescent="0.3">
      <c r="A229" s="34">
        <v>52</v>
      </c>
      <c r="B229" s="8" t="s">
        <v>721</v>
      </c>
      <c r="C229" s="8" t="s">
        <v>722</v>
      </c>
      <c r="D229" s="9">
        <v>50000000</v>
      </c>
      <c r="E229" s="10"/>
      <c r="F229" s="29">
        <v>12</v>
      </c>
      <c r="G229" s="2" t="s">
        <v>123</v>
      </c>
      <c r="H229" s="2" t="s">
        <v>124</v>
      </c>
      <c r="I229" s="2" t="s">
        <v>125</v>
      </c>
      <c r="J229" s="2" t="s">
        <v>126</v>
      </c>
      <c r="K229" s="2" t="s">
        <v>127</v>
      </c>
      <c r="L229" s="2" t="s">
        <v>128</v>
      </c>
      <c r="M229" s="2" t="s">
        <v>702</v>
      </c>
      <c r="N229" s="2"/>
      <c r="O229" s="20" t="s">
        <v>723</v>
      </c>
      <c r="P229" s="20" t="s">
        <v>98</v>
      </c>
    </row>
    <row r="230" spans="1:16" ht="84" x14ac:dyDescent="0.3">
      <c r="A230" s="33">
        <v>53</v>
      </c>
      <c r="B230" s="17" t="s">
        <v>724</v>
      </c>
      <c r="C230" s="17" t="s">
        <v>725</v>
      </c>
      <c r="D230" s="18">
        <v>50000000</v>
      </c>
      <c r="E230" s="19"/>
      <c r="F230" s="28">
        <v>12</v>
      </c>
      <c r="G230" s="1" t="s">
        <v>14</v>
      </c>
      <c r="H230" s="1" t="s">
        <v>32</v>
      </c>
      <c r="I230" s="1" t="s">
        <v>549</v>
      </c>
      <c r="J230" s="1" t="s">
        <v>126</v>
      </c>
      <c r="K230" s="1" t="s">
        <v>127</v>
      </c>
      <c r="L230" s="1" t="s">
        <v>128</v>
      </c>
      <c r="M230" s="1" t="s">
        <v>702</v>
      </c>
      <c r="N230" s="1"/>
      <c r="O230" s="21" t="s">
        <v>726</v>
      </c>
      <c r="P230" s="21" t="s">
        <v>98</v>
      </c>
    </row>
    <row r="231" spans="1:16" ht="84" x14ac:dyDescent="0.3">
      <c r="A231" s="34">
        <v>54</v>
      </c>
      <c r="B231" s="8" t="s">
        <v>727</v>
      </c>
      <c r="C231" s="8" t="s">
        <v>728</v>
      </c>
      <c r="D231" s="9">
        <v>50000000</v>
      </c>
      <c r="E231" s="10"/>
      <c r="F231" s="29">
        <v>12</v>
      </c>
      <c r="G231" s="2" t="s">
        <v>123</v>
      </c>
      <c r="H231" s="2" t="s">
        <v>140</v>
      </c>
      <c r="I231" s="2" t="s">
        <v>597</v>
      </c>
      <c r="J231" s="2" t="s">
        <v>126</v>
      </c>
      <c r="K231" s="2" t="s">
        <v>127</v>
      </c>
      <c r="L231" s="2" t="s">
        <v>128</v>
      </c>
      <c r="M231" s="2" t="s">
        <v>702</v>
      </c>
      <c r="N231" s="2"/>
      <c r="O231" s="20" t="s">
        <v>703</v>
      </c>
      <c r="P231" s="20" t="s">
        <v>98</v>
      </c>
    </row>
    <row r="232" spans="1:16" ht="84" x14ac:dyDescent="0.3">
      <c r="A232" s="33">
        <v>55</v>
      </c>
      <c r="B232" s="17" t="s">
        <v>729</v>
      </c>
      <c r="C232" s="17" t="s">
        <v>730</v>
      </c>
      <c r="D232" s="18">
        <v>70000000</v>
      </c>
      <c r="E232" s="19"/>
      <c r="F232" s="28">
        <v>12</v>
      </c>
      <c r="G232" s="1" t="s">
        <v>14</v>
      </c>
      <c r="H232" s="1" t="s">
        <v>32</v>
      </c>
      <c r="I232" s="1" t="s">
        <v>549</v>
      </c>
      <c r="J232" s="1" t="s">
        <v>126</v>
      </c>
      <c r="K232" s="1" t="s">
        <v>127</v>
      </c>
      <c r="L232" s="1" t="s">
        <v>128</v>
      </c>
      <c r="M232" s="1" t="s">
        <v>702</v>
      </c>
      <c r="N232" s="1"/>
      <c r="O232" s="21" t="s">
        <v>731</v>
      </c>
      <c r="P232" s="21" t="s">
        <v>72</v>
      </c>
    </row>
    <row r="233" spans="1:16" ht="84" x14ac:dyDescent="0.3">
      <c r="A233" s="34">
        <v>56</v>
      </c>
      <c r="B233" s="8" t="s">
        <v>732</v>
      </c>
      <c r="C233" s="8" t="s">
        <v>733</v>
      </c>
      <c r="D233" s="9">
        <v>70000000</v>
      </c>
      <c r="E233" s="10"/>
      <c r="F233" s="29">
        <v>12</v>
      </c>
      <c r="G233" s="2" t="s">
        <v>14</v>
      </c>
      <c r="H233" s="2" t="s">
        <v>32</v>
      </c>
      <c r="I233" s="2" t="s">
        <v>549</v>
      </c>
      <c r="J233" s="2" t="s">
        <v>126</v>
      </c>
      <c r="K233" s="2" t="s">
        <v>127</v>
      </c>
      <c r="L233" s="2" t="s">
        <v>128</v>
      </c>
      <c r="M233" s="2" t="s">
        <v>702</v>
      </c>
      <c r="N233" s="2"/>
      <c r="O233" s="20" t="s">
        <v>731</v>
      </c>
      <c r="P233" s="20" t="s">
        <v>72</v>
      </c>
    </row>
    <row r="234" spans="1:16" ht="84" x14ac:dyDescent="0.3">
      <c r="A234" s="33">
        <v>57</v>
      </c>
      <c r="B234" s="17" t="s">
        <v>734</v>
      </c>
      <c r="C234" s="17" t="s">
        <v>735</v>
      </c>
      <c r="D234" s="18">
        <v>74810000</v>
      </c>
      <c r="E234" s="19"/>
      <c r="F234" s="28">
        <v>12</v>
      </c>
      <c r="G234" s="1" t="s">
        <v>14</v>
      </c>
      <c r="H234" s="1" t="s">
        <v>32</v>
      </c>
      <c r="I234" s="1" t="s">
        <v>549</v>
      </c>
      <c r="J234" s="1" t="s">
        <v>126</v>
      </c>
      <c r="K234" s="1" t="s">
        <v>127</v>
      </c>
      <c r="L234" s="1" t="s">
        <v>128</v>
      </c>
      <c r="M234" s="1" t="s">
        <v>702</v>
      </c>
      <c r="N234" s="1"/>
      <c r="O234" s="21" t="s">
        <v>708</v>
      </c>
      <c r="P234" s="21" t="s">
        <v>98</v>
      </c>
    </row>
    <row r="235" spans="1:16" ht="48" x14ac:dyDescent="0.3">
      <c r="A235" s="34">
        <v>58</v>
      </c>
      <c r="B235" s="8" t="s">
        <v>736</v>
      </c>
      <c r="C235" s="8" t="s">
        <v>737</v>
      </c>
      <c r="D235" s="9">
        <v>75000000</v>
      </c>
      <c r="E235" s="10"/>
      <c r="F235" s="29">
        <v>12</v>
      </c>
      <c r="G235" s="2" t="s">
        <v>123</v>
      </c>
      <c r="H235" s="2" t="s">
        <v>140</v>
      </c>
      <c r="I235" s="2" t="s">
        <v>241</v>
      </c>
      <c r="J235" s="2" t="s">
        <v>126</v>
      </c>
      <c r="K235" s="2" t="s">
        <v>127</v>
      </c>
      <c r="L235" s="2" t="s">
        <v>128</v>
      </c>
      <c r="M235" s="2" t="s">
        <v>702</v>
      </c>
      <c r="N235" s="2"/>
      <c r="O235" s="20" t="s">
        <v>716</v>
      </c>
      <c r="P235" s="20" t="s">
        <v>98</v>
      </c>
    </row>
    <row r="236" spans="1:16" ht="72" x14ac:dyDescent="0.3">
      <c r="A236" s="33">
        <v>59</v>
      </c>
      <c r="B236" s="17" t="s">
        <v>738</v>
      </c>
      <c r="C236" s="17" t="s">
        <v>739</v>
      </c>
      <c r="D236" s="18">
        <v>100000000</v>
      </c>
      <c r="E236" s="19"/>
      <c r="F236" s="28">
        <v>12</v>
      </c>
      <c r="G236" s="1" t="s">
        <v>14</v>
      </c>
      <c r="H236" s="1" t="s">
        <v>57</v>
      </c>
      <c r="I236" s="1" t="s">
        <v>105</v>
      </c>
      <c r="J236" s="1" t="s">
        <v>126</v>
      </c>
      <c r="K236" s="1" t="s">
        <v>127</v>
      </c>
      <c r="L236" s="1" t="s">
        <v>128</v>
      </c>
      <c r="M236" s="1" t="s">
        <v>702</v>
      </c>
      <c r="N236" s="1"/>
      <c r="O236" s="21" t="s">
        <v>36</v>
      </c>
      <c r="P236" s="21" t="s">
        <v>37</v>
      </c>
    </row>
    <row r="237" spans="1:16" ht="156" x14ac:dyDescent="0.3">
      <c r="A237" s="34">
        <v>60</v>
      </c>
      <c r="B237" s="8" t="s">
        <v>740</v>
      </c>
      <c r="C237" s="8" t="s">
        <v>741</v>
      </c>
      <c r="D237" s="9">
        <v>100000000</v>
      </c>
      <c r="E237" s="10"/>
      <c r="F237" s="29">
        <v>12</v>
      </c>
      <c r="G237" s="2" t="s">
        <v>123</v>
      </c>
      <c r="H237" s="2" t="s">
        <v>124</v>
      </c>
      <c r="I237" s="2" t="s">
        <v>125</v>
      </c>
      <c r="J237" s="2" t="s">
        <v>126</v>
      </c>
      <c r="K237" s="2" t="s">
        <v>127</v>
      </c>
      <c r="L237" s="2" t="s">
        <v>128</v>
      </c>
      <c r="M237" s="2" t="s">
        <v>702</v>
      </c>
      <c r="N237" s="2"/>
      <c r="O237" s="20" t="s">
        <v>36</v>
      </c>
      <c r="P237" s="20" t="s">
        <v>37</v>
      </c>
    </row>
    <row r="238" spans="1:16" ht="156" x14ac:dyDescent="0.3">
      <c r="A238" s="33">
        <v>61</v>
      </c>
      <c r="B238" s="17" t="s">
        <v>742</v>
      </c>
      <c r="C238" s="17" t="s">
        <v>743</v>
      </c>
      <c r="D238" s="18">
        <v>100000000</v>
      </c>
      <c r="E238" s="19"/>
      <c r="F238" s="28">
        <v>12</v>
      </c>
      <c r="G238" s="1" t="s">
        <v>123</v>
      </c>
      <c r="H238" s="1" t="s">
        <v>124</v>
      </c>
      <c r="I238" s="1" t="s">
        <v>125</v>
      </c>
      <c r="J238" s="1" t="s">
        <v>126</v>
      </c>
      <c r="K238" s="1" t="s">
        <v>127</v>
      </c>
      <c r="L238" s="1" t="s">
        <v>128</v>
      </c>
      <c r="M238" s="1" t="s">
        <v>702</v>
      </c>
      <c r="N238" s="1"/>
      <c r="O238" s="21" t="s">
        <v>36</v>
      </c>
      <c r="P238" s="21" t="s">
        <v>37</v>
      </c>
    </row>
    <row r="239" spans="1:16" ht="156" x14ac:dyDescent="0.3">
      <c r="A239" s="34">
        <v>62</v>
      </c>
      <c r="B239" s="8" t="s">
        <v>744</v>
      </c>
      <c r="C239" s="8" t="s">
        <v>745</v>
      </c>
      <c r="D239" s="9">
        <v>100000000</v>
      </c>
      <c r="E239" s="10"/>
      <c r="F239" s="29">
        <v>12</v>
      </c>
      <c r="G239" s="2" t="s">
        <v>123</v>
      </c>
      <c r="H239" s="2" t="s">
        <v>124</v>
      </c>
      <c r="I239" s="2" t="s">
        <v>125</v>
      </c>
      <c r="J239" s="2" t="s">
        <v>126</v>
      </c>
      <c r="K239" s="2" t="s">
        <v>127</v>
      </c>
      <c r="L239" s="2" t="s">
        <v>128</v>
      </c>
      <c r="M239" s="2" t="s">
        <v>702</v>
      </c>
      <c r="N239" s="2"/>
      <c r="O239" s="20" t="s">
        <v>36</v>
      </c>
      <c r="P239" s="20" t="s">
        <v>37</v>
      </c>
    </row>
    <row r="240" spans="1:16" ht="48" x14ac:dyDescent="0.3">
      <c r="A240" s="33">
        <v>63</v>
      </c>
      <c r="B240" s="17" t="s">
        <v>746</v>
      </c>
      <c r="C240" s="17" t="s">
        <v>747</v>
      </c>
      <c r="D240" s="18">
        <v>350000000</v>
      </c>
      <c r="E240" s="19"/>
      <c r="F240" s="28">
        <v>12</v>
      </c>
      <c r="G240" s="1" t="s">
        <v>14</v>
      </c>
      <c r="H240" s="1" t="s">
        <v>165</v>
      </c>
      <c r="I240" s="1" t="s">
        <v>166</v>
      </c>
      <c r="J240" s="1" t="s">
        <v>126</v>
      </c>
      <c r="K240" s="1" t="s">
        <v>127</v>
      </c>
      <c r="L240" s="1" t="s">
        <v>128</v>
      </c>
      <c r="M240" s="1" t="s">
        <v>702</v>
      </c>
      <c r="N240" s="1"/>
      <c r="O240" s="1" t="s">
        <v>369</v>
      </c>
      <c r="P240" s="21" t="s">
        <v>37</v>
      </c>
    </row>
    <row r="241" spans="1:16" ht="60" x14ac:dyDescent="0.3">
      <c r="A241" s="34">
        <v>64</v>
      </c>
      <c r="B241" s="8" t="s">
        <v>748</v>
      </c>
      <c r="C241" s="8" t="s">
        <v>749</v>
      </c>
      <c r="D241" s="9">
        <v>40000000</v>
      </c>
      <c r="E241" s="27"/>
      <c r="F241" s="29">
        <v>12</v>
      </c>
      <c r="G241" s="2" t="s">
        <v>14</v>
      </c>
      <c r="H241" s="2" t="s">
        <v>165</v>
      </c>
      <c r="I241" s="2" t="s">
        <v>750</v>
      </c>
      <c r="J241" s="2" t="s">
        <v>17</v>
      </c>
      <c r="K241" s="2" t="s">
        <v>127</v>
      </c>
      <c r="L241" s="2" t="s">
        <v>8</v>
      </c>
      <c r="M241" s="2" t="s">
        <v>702</v>
      </c>
      <c r="N241" s="2"/>
      <c r="O241" s="2" t="s">
        <v>751</v>
      </c>
      <c r="P241" s="20" t="s">
        <v>61</v>
      </c>
    </row>
    <row r="242" spans="1:16" ht="108" x14ac:dyDescent="0.3">
      <c r="A242" s="33">
        <v>65</v>
      </c>
      <c r="B242" s="17" t="s">
        <v>752</v>
      </c>
      <c r="C242" s="11" t="s">
        <v>753</v>
      </c>
      <c r="D242" s="22">
        <v>229773885</v>
      </c>
      <c r="E242" s="26"/>
      <c r="F242" s="28">
        <v>12</v>
      </c>
      <c r="G242" s="1" t="s">
        <v>3</v>
      </c>
      <c r="H242" s="1" t="s">
        <v>4</v>
      </c>
      <c r="I242" s="1" t="s">
        <v>25</v>
      </c>
      <c r="J242" s="1" t="s">
        <v>6</v>
      </c>
      <c r="K242" s="1" t="s">
        <v>7</v>
      </c>
      <c r="L242" s="1" t="s">
        <v>602</v>
      </c>
      <c r="M242" s="1" t="s">
        <v>9</v>
      </c>
      <c r="N242" s="1" t="s">
        <v>602</v>
      </c>
      <c r="O242" s="1" t="s">
        <v>26</v>
      </c>
      <c r="P242" s="21" t="s">
        <v>27</v>
      </c>
    </row>
    <row r="243" spans="1:16" ht="84" x14ac:dyDescent="0.3">
      <c r="A243" s="34">
        <v>66</v>
      </c>
      <c r="B243" s="8" t="s">
        <v>754</v>
      </c>
      <c r="C243" s="8" t="s">
        <v>755</v>
      </c>
      <c r="D243" s="9">
        <v>135070683</v>
      </c>
      <c r="E243" s="10"/>
      <c r="F243" s="29">
        <v>12</v>
      </c>
      <c r="G243" s="2" t="s">
        <v>3</v>
      </c>
      <c r="H243" s="2" t="s">
        <v>4</v>
      </c>
      <c r="I243" s="2" t="s">
        <v>25</v>
      </c>
      <c r="J243" s="2" t="s">
        <v>6</v>
      </c>
      <c r="K243" s="2" t="s">
        <v>7</v>
      </c>
      <c r="L243" s="2" t="s">
        <v>602</v>
      </c>
      <c r="M243" s="2" t="s">
        <v>9</v>
      </c>
      <c r="N243" s="2" t="s">
        <v>602</v>
      </c>
      <c r="O243" s="2" t="s">
        <v>604</v>
      </c>
      <c r="P243" s="20" t="s">
        <v>37</v>
      </c>
    </row>
    <row r="244" spans="1:16" ht="60" x14ac:dyDescent="0.3">
      <c r="A244" s="33">
        <v>67</v>
      </c>
      <c r="B244" s="17" t="s">
        <v>756</v>
      </c>
      <c r="C244" s="17" t="s">
        <v>757</v>
      </c>
      <c r="D244" s="18">
        <v>100000000</v>
      </c>
      <c r="E244" s="19"/>
      <c r="F244" s="28">
        <v>12</v>
      </c>
      <c r="G244" s="1" t="s">
        <v>14</v>
      </c>
      <c r="H244" s="1" t="s">
        <v>32</v>
      </c>
      <c r="I244" s="1" t="s">
        <v>16</v>
      </c>
      <c r="J244" s="1" t="s">
        <v>17</v>
      </c>
      <c r="K244" s="1" t="s">
        <v>18</v>
      </c>
      <c r="L244" s="1" t="s">
        <v>8</v>
      </c>
      <c r="M244" s="1" t="s">
        <v>9</v>
      </c>
      <c r="N244" s="1" t="s">
        <v>758</v>
      </c>
      <c r="O244" s="1" t="s">
        <v>759</v>
      </c>
      <c r="P244" s="1" t="s">
        <v>759</v>
      </c>
    </row>
    <row r="245" spans="1:16" ht="84" x14ac:dyDescent="0.3">
      <c r="A245" s="34">
        <v>68</v>
      </c>
      <c r="B245" s="8" t="s">
        <v>760</v>
      </c>
      <c r="C245" s="8" t="s">
        <v>761</v>
      </c>
      <c r="D245" s="9">
        <v>50000000</v>
      </c>
      <c r="E245" s="10"/>
      <c r="F245" s="29">
        <v>12</v>
      </c>
      <c r="G245" s="2" t="s">
        <v>14</v>
      </c>
      <c r="H245" s="2" t="s">
        <v>32</v>
      </c>
      <c r="I245" s="2" t="s">
        <v>16</v>
      </c>
      <c r="J245" s="2" t="s">
        <v>17</v>
      </c>
      <c r="K245" s="2" t="s">
        <v>18</v>
      </c>
      <c r="L245" s="2" t="s">
        <v>8</v>
      </c>
      <c r="M245" s="2" t="s">
        <v>9</v>
      </c>
      <c r="N245" s="2" t="s">
        <v>758</v>
      </c>
      <c r="O245" s="2" t="s">
        <v>61</v>
      </c>
      <c r="P245" s="20" t="s">
        <v>61</v>
      </c>
    </row>
    <row r="246" spans="1:16" ht="60" x14ac:dyDescent="0.3">
      <c r="A246" s="33">
        <v>69</v>
      </c>
      <c r="B246" s="17" t="s">
        <v>433</v>
      </c>
      <c r="C246" s="17" t="s">
        <v>762</v>
      </c>
      <c r="D246" s="18">
        <v>28090000</v>
      </c>
      <c r="E246" s="23">
        <v>46006</v>
      </c>
      <c r="F246" s="28">
        <v>12</v>
      </c>
      <c r="G246" s="1" t="s">
        <v>14</v>
      </c>
      <c r="H246" s="1" t="s">
        <v>32</v>
      </c>
      <c r="I246" s="1" t="s">
        <v>33</v>
      </c>
      <c r="J246" s="1" t="s">
        <v>17</v>
      </c>
      <c r="K246" s="1" t="s">
        <v>18</v>
      </c>
      <c r="L246" s="1" t="s">
        <v>8</v>
      </c>
      <c r="M246" s="1"/>
      <c r="N246" s="1"/>
      <c r="O246" s="1"/>
      <c r="P246" s="21"/>
    </row>
    <row r="247" spans="1:16" ht="84" x14ac:dyDescent="0.3">
      <c r="A247" s="34">
        <v>70</v>
      </c>
      <c r="B247" s="8" t="s">
        <v>763</v>
      </c>
      <c r="C247" s="8" t="s">
        <v>764</v>
      </c>
      <c r="D247" s="9">
        <v>67500000</v>
      </c>
      <c r="E247" s="31">
        <v>46022</v>
      </c>
      <c r="F247" s="29">
        <v>12</v>
      </c>
      <c r="G247" s="2" t="s">
        <v>123</v>
      </c>
      <c r="H247" s="2" t="s">
        <v>765</v>
      </c>
      <c r="I247" s="2" t="s">
        <v>766</v>
      </c>
      <c r="J247" s="2" t="s">
        <v>6</v>
      </c>
      <c r="K247" s="2" t="s">
        <v>18</v>
      </c>
      <c r="L247" s="2" t="s">
        <v>192</v>
      </c>
      <c r="M247" s="2" t="s">
        <v>9</v>
      </c>
      <c r="N247" s="2" t="s">
        <v>758</v>
      </c>
      <c r="O247" s="2" t="s">
        <v>589</v>
      </c>
      <c r="P247" s="20" t="s">
        <v>27</v>
      </c>
    </row>
    <row r="248" spans="1:16" ht="60" x14ac:dyDescent="0.3">
      <c r="A248" s="33">
        <v>71</v>
      </c>
      <c r="B248" s="17" t="s">
        <v>767</v>
      </c>
      <c r="C248" s="17" t="s">
        <v>768</v>
      </c>
      <c r="D248" s="18">
        <v>15709316</v>
      </c>
      <c r="E248" s="23">
        <v>46022</v>
      </c>
      <c r="F248" s="28">
        <v>12</v>
      </c>
      <c r="G248" s="1" t="s">
        <v>14</v>
      </c>
      <c r="H248" s="1" t="s">
        <v>32</v>
      </c>
      <c r="I248" s="1" t="s">
        <v>549</v>
      </c>
      <c r="J248" s="1" t="s">
        <v>17</v>
      </c>
      <c r="K248" s="1" t="s">
        <v>18</v>
      </c>
      <c r="L248" s="1" t="s">
        <v>8</v>
      </c>
      <c r="M248" s="1" t="s">
        <v>9</v>
      </c>
      <c r="N248" s="1" t="s">
        <v>439</v>
      </c>
      <c r="O248" s="1"/>
      <c r="P248" s="21" t="s">
        <v>207</v>
      </c>
    </row>
    <row r="249" spans="1:16" ht="72" x14ac:dyDescent="0.3">
      <c r="A249" s="34">
        <v>72</v>
      </c>
      <c r="B249" s="8" t="s">
        <v>769</v>
      </c>
      <c r="C249" s="8" t="s">
        <v>770</v>
      </c>
      <c r="D249" s="9">
        <v>39407770</v>
      </c>
      <c r="E249" s="31">
        <v>46022</v>
      </c>
      <c r="F249" s="29">
        <v>12</v>
      </c>
      <c r="G249" s="2" t="s">
        <v>14</v>
      </c>
      <c r="H249" s="2" t="s">
        <v>32</v>
      </c>
      <c r="I249" s="2" t="s">
        <v>549</v>
      </c>
      <c r="J249" s="2" t="s">
        <v>17</v>
      </c>
      <c r="K249" s="2" t="s">
        <v>18</v>
      </c>
      <c r="L249" s="2" t="s">
        <v>8</v>
      </c>
      <c r="M249" s="2" t="s">
        <v>9</v>
      </c>
      <c r="N249" s="2" t="s">
        <v>439</v>
      </c>
      <c r="O249" s="2"/>
      <c r="P249" s="20" t="s">
        <v>771</v>
      </c>
    </row>
    <row r="250" spans="1:16" ht="48" x14ac:dyDescent="0.3">
      <c r="A250" s="33">
        <v>73</v>
      </c>
      <c r="B250" s="17" t="s">
        <v>772</v>
      </c>
      <c r="C250" s="17" t="s">
        <v>773</v>
      </c>
      <c r="D250" s="18">
        <v>11800996</v>
      </c>
      <c r="E250" s="23">
        <v>46022</v>
      </c>
      <c r="F250" s="28">
        <v>12</v>
      </c>
      <c r="G250" s="1" t="s">
        <v>14</v>
      </c>
      <c r="H250" s="1" t="s">
        <v>32</v>
      </c>
      <c r="I250" s="1" t="s">
        <v>549</v>
      </c>
      <c r="J250" s="1" t="s">
        <v>17</v>
      </c>
      <c r="K250" s="1" t="s">
        <v>18</v>
      </c>
      <c r="L250" s="1" t="s">
        <v>8</v>
      </c>
      <c r="M250" s="1" t="s">
        <v>9</v>
      </c>
      <c r="N250" s="1" t="s">
        <v>439</v>
      </c>
      <c r="O250" s="1" t="s">
        <v>774</v>
      </c>
      <c r="P250" s="21" t="s">
        <v>22</v>
      </c>
    </row>
    <row r="251" spans="1:16" ht="60" x14ac:dyDescent="0.3">
      <c r="A251" s="34">
        <v>74</v>
      </c>
      <c r="B251" s="8" t="s">
        <v>775</v>
      </c>
      <c r="C251" s="8" t="s">
        <v>776</v>
      </c>
      <c r="D251" s="9">
        <v>50000000</v>
      </c>
      <c r="E251" s="31">
        <v>46022</v>
      </c>
      <c r="F251" s="29">
        <v>12</v>
      </c>
      <c r="G251" s="2" t="s">
        <v>14</v>
      </c>
      <c r="H251" s="2" t="s">
        <v>57</v>
      </c>
      <c r="I251" s="2" t="s">
        <v>105</v>
      </c>
      <c r="J251" s="2" t="s">
        <v>126</v>
      </c>
      <c r="K251" s="2" t="s">
        <v>18</v>
      </c>
      <c r="L251" s="2" t="s">
        <v>128</v>
      </c>
      <c r="M251" s="2" t="s">
        <v>702</v>
      </c>
      <c r="N251" s="2"/>
      <c r="O251" s="2"/>
      <c r="P251" s="20" t="s">
        <v>98</v>
      </c>
    </row>
    <row r="252" spans="1:16" ht="60" x14ac:dyDescent="0.3">
      <c r="A252" s="33">
        <v>75</v>
      </c>
      <c r="B252" s="17" t="s">
        <v>777</v>
      </c>
      <c r="C252" s="17" t="s">
        <v>778</v>
      </c>
      <c r="D252" s="18">
        <v>50000000</v>
      </c>
      <c r="E252" s="23">
        <v>46022</v>
      </c>
      <c r="F252" s="28">
        <v>12</v>
      </c>
      <c r="G252" s="1" t="s">
        <v>14</v>
      </c>
      <c r="H252" s="1" t="s">
        <v>57</v>
      </c>
      <c r="I252" s="1" t="s">
        <v>105</v>
      </c>
      <c r="J252" s="1" t="s">
        <v>126</v>
      </c>
      <c r="K252" s="1" t="s">
        <v>18</v>
      </c>
      <c r="L252" s="1" t="s">
        <v>128</v>
      </c>
      <c r="M252" s="1" t="s">
        <v>702</v>
      </c>
      <c r="N252" s="1"/>
      <c r="O252" s="1"/>
      <c r="P252" s="21" t="s">
        <v>98</v>
      </c>
    </row>
    <row r="253" spans="1:16" ht="60" x14ac:dyDescent="0.3">
      <c r="A253" s="34">
        <v>76</v>
      </c>
      <c r="B253" s="8" t="s">
        <v>779</v>
      </c>
      <c r="C253" s="8" t="s">
        <v>780</v>
      </c>
      <c r="D253" s="9">
        <v>50000000</v>
      </c>
      <c r="E253" s="25">
        <v>46022</v>
      </c>
      <c r="F253" s="29">
        <v>12</v>
      </c>
      <c r="G253" s="2" t="s">
        <v>14</v>
      </c>
      <c r="H253" s="2" t="s">
        <v>57</v>
      </c>
      <c r="I253" s="2" t="s">
        <v>105</v>
      </c>
      <c r="J253" s="2" t="s">
        <v>126</v>
      </c>
      <c r="K253" s="2" t="s">
        <v>18</v>
      </c>
      <c r="L253" s="2" t="s">
        <v>128</v>
      </c>
      <c r="M253" s="2" t="s">
        <v>702</v>
      </c>
      <c r="N253" s="2"/>
      <c r="O253" s="2" t="s">
        <v>713</v>
      </c>
      <c r="P253" s="20" t="s">
        <v>98</v>
      </c>
    </row>
    <row r="254" spans="1:16" ht="72" x14ac:dyDescent="0.3">
      <c r="A254" s="33">
        <v>77</v>
      </c>
      <c r="B254" s="11" t="s">
        <v>781</v>
      </c>
      <c r="C254" s="11" t="s">
        <v>782</v>
      </c>
      <c r="D254" s="22">
        <v>60000000</v>
      </c>
      <c r="E254" s="23">
        <v>46022</v>
      </c>
      <c r="F254" s="28">
        <v>12</v>
      </c>
      <c r="G254" s="1" t="s">
        <v>14</v>
      </c>
      <c r="H254" s="1" t="s">
        <v>32</v>
      </c>
      <c r="I254" s="1" t="s">
        <v>16</v>
      </c>
      <c r="J254" s="1" t="s">
        <v>17</v>
      </c>
      <c r="K254" s="1" t="s">
        <v>18</v>
      </c>
      <c r="L254" s="1" t="s">
        <v>8</v>
      </c>
      <c r="M254" s="1" t="s">
        <v>9</v>
      </c>
      <c r="N254" s="1" t="s">
        <v>758</v>
      </c>
      <c r="O254" s="1" t="s">
        <v>783</v>
      </c>
      <c r="P254" s="21" t="s">
        <v>61</v>
      </c>
    </row>
    <row r="255" spans="1:16" ht="36" x14ac:dyDescent="0.3">
      <c r="A255" s="34">
        <v>78</v>
      </c>
      <c r="B255" s="8" t="s">
        <v>784</v>
      </c>
      <c r="C255" s="8" t="s">
        <v>785</v>
      </c>
      <c r="D255" s="9">
        <v>22500000</v>
      </c>
      <c r="E255" s="25">
        <v>45992</v>
      </c>
      <c r="F255" s="29" t="s">
        <v>786</v>
      </c>
      <c r="G255" s="2" t="s">
        <v>123</v>
      </c>
      <c r="H255" s="2" t="s">
        <v>765</v>
      </c>
      <c r="I255" s="2" t="s">
        <v>766</v>
      </c>
      <c r="J255" s="2" t="s">
        <v>6</v>
      </c>
      <c r="K255" s="2" t="s">
        <v>18</v>
      </c>
      <c r="L255" s="2" t="s">
        <v>192</v>
      </c>
      <c r="M255" s="2" t="s">
        <v>9</v>
      </c>
      <c r="N255" s="2" t="s">
        <v>758</v>
      </c>
      <c r="O255" s="2" t="s">
        <v>589</v>
      </c>
      <c r="P255" s="20" t="s">
        <v>27</v>
      </c>
    </row>
    <row r="256" spans="1:16" ht="108" x14ac:dyDescent="0.3">
      <c r="A256" s="33">
        <v>79</v>
      </c>
      <c r="B256" s="17" t="s">
        <v>787</v>
      </c>
      <c r="C256" s="17" t="s">
        <v>788</v>
      </c>
      <c r="D256" s="32">
        <v>106000000</v>
      </c>
      <c r="E256" s="31">
        <v>46003</v>
      </c>
      <c r="F256" s="28" t="s">
        <v>786</v>
      </c>
      <c r="G256" s="1" t="s">
        <v>14</v>
      </c>
      <c r="H256" s="1" t="s">
        <v>32</v>
      </c>
      <c r="I256" s="1" t="s">
        <v>58</v>
      </c>
      <c r="J256" s="1" t="s">
        <v>17</v>
      </c>
      <c r="K256" s="1" t="s">
        <v>18</v>
      </c>
      <c r="L256" s="1" t="s">
        <v>34</v>
      </c>
      <c r="M256" s="1" t="s">
        <v>9</v>
      </c>
      <c r="N256" s="1" t="s">
        <v>439</v>
      </c>
      <c r="O256" s="1" t="s">
        <v>26</v>
      </c>
      <c r="P256" s="21" t="s">
        <v>27</v>
      </c>
    </row>
    <row r="257" spans="1:16" ht="108" x14ac:dyDescent="0.3">
      <c r="A257" s="34">
        <v>80</v>
      </c>
      <c r="B257" s="16" t="s">
        <v>789</v>
      </c>
      <c r="C257" s="16" t="s">
        <v>790</v>
      </c>
      <c r="D257" s="24">
        <v>96000000</v>
      </c>
      <c r="E257" s="25">
        <v>46001</v>
      </c>
      <c r="F257" s="29" t="s">
        <v>786</v>
      </c>
      <c r="G257" s="2" t="s">
        <v>14</v>
      </c>
      <c r="H257" s="2" t="s">
        <v>32</v>
      </c>
      <c r="I257" s="2" t="s">
        <v>58</v>
      </c>
      <c r="J257" s="2" t="s">
        <v>17</v>
      </c>
      <c r="K257" s="2" t="s">
        <v>18</v>
      </c>
      <c r="L257" s="2" t="s">
        <v>34</v>
      </c>
      <c r="M257" s="2" t="s">
        <v>9</v>
      </c>
      <c r="N257" s="2" t="s">
        <v>439</v>
      </c>
      <c r="O257" s="2" t="s">
        <v>26</v>
      </c>
      <c r="P257" s="20" t="s">
        <v>27</v>
      </c>
    </row>
  </sheetData>
  <dataValidations count="48">
    <dataValidation type="list" allowBlank="1" showInputMessage="1" showErrorMessage="1" sqref="I2:I6" xr:uid="{6ECEC476-610E-4FF6-BFD6-9619A2D73214}">
      <formula1>$I$12:$I$43</formula1>
    </dataValidation>
    <dataValidation type="list" allowBlank="1" showInputMessage="1" showErrorMessage="1" sqref="L2:L6" xr:uid="{5EA077F3-F078-4D0D-9F6B-49524FB8BFCA}">
      <formula1>$D$57:$D$83</formula1>
    </dataValidation>
    <dataValidation type="list" allowBlank="1" showInputMessage="1" showErrorMessage="1" sqref="K2:K6" xr:uid="{31C270CB-F597-45DC-AFEA-85349BD8EEF4}">
      <formula1>$D$12:$D$17</formula1>
    </dataValidation>
    <dataValidation type="list" allowBlank="1" showInputMessage="1" showErrorMessage="1" sqref="J2:J6" xr:uid="{27C5DE8B-980B-451F-B77A-A3A59C6EF29F}">
      <formula1>$D$49:$D$52</formula1>
    </dataValidation>
    <dataValidation type="list" allowBlank="1" showInputMessage="1" showErrorMessage="1" sqref="I7:I22" xr:uid="{6AD544AA-9562-4672-997E-3CF6D838B5A7}">
      <formula1>$I$23:$I$54</formula1>
    </dataValidation>
    <dataValidation type="list" allowBlank="1" showInputMessage="1" showErrorMessage="1" sqref="J7:J22" xr:uid="{1EEB05E5-E79E-45C7-BA69-C19DED2F7127}">
      <formula1>$D$60:$D$63</formula1>
    </dataValidation>
    <dataValidation type="list" allowBlank="1" showInputMessage="1" showErrorMessage="1" sqref="K7:K22" xr:uid="{6D64F154-7219-4DBC-92C8-6117387350B2}">
      <formula1>$D$23:$D$28</formula1>
    </dataValidation>
    <dataValidation type="list" allowBlank="1" showInputMessage="1" showErrorMessage="1" sqref="L7:L22" xr:uid="{05A3326A-3C8E-475D-9A75-DB081B23B631}">
      <formula1>$D$68:$D$94</formula1>
    </dataValidation>
    <dataValidation type="list" allowBlank="1" showInputMessage="1" showErrorMessage="1" sqref="I23:I50 I162:I167" xr:uid="{86AF91E2-04FD-4244-B6E4-57C7E4BC350B}">
      <formula1>$I$35:$I$66</formula1>
    </dataValidation>
    <dataValidation type="list" allowBlank="1" showInputMessage="1" showErrorMessage="1" sqref="L23:L50" xr:uid="{90DBEF86-92D9-414A-BED8-8AA90C620299}">
      <formula1>$D$80:$D$106</formula1>
    </dataValidation>
    <dataValidation type="list" allowBlank="1" showInputMessage="1" showErrorMessage="1" sqref="K23:K50 K162:K167" xr:uid="{051A33FD-332B-471C-92C2-C36454CC1860}">
      <formula1>$D$35:$D$40</formula1>
    </dataValidation>
    <dataValidation type="list" allowBlank="1" showInputMessage="1" showErrorMessage="1" sqref="J23:J50" xr:uid="{9E447989-FA76-4BA3-A730-20FCE741E4D7}">
      <formula1>$D$72:$D$75</formula1>
    </dataValidation>
    <dataValidation type="list" allowBlank="1" showInputMessage="1" showErrorMessage="1" sqref="I86" xr:uid="{C3853710-F3EC-4EA1-B437-7F7443C75F5D}">
      <formula1>$I$35:$I$64</formula1>
    </dataValidation>
    <dataValidation type="list" allowBlank="1" showInputMessage="1" showErrorMessage="1" sqref="J86" xr:uid="{4E152BBA-4857-40FC-A5AB-B859CA1A03B9}">
      <formula1>$D$70:$D$73</formula1>
    </dataValidation>
    <dataValidation type="list" allowBlank="1" showInputMessage="1" showErrorMessage="1" sqref="K86" xr:uid="{CD591C7F-D77E-430C-A374-D1415CF8E4A3}">
      <formula1>$D$35:$D$39</formula1>
    </dataValidation>
    <dataValidation type="list" allowBlank="1" showInputMessage="1" showErrorMessage="1" sqref="L86" xr:uid="{E7554DFB-57C1-4A9D-AF89-6E9F9CF4A6FD}">
      <formula1>$D$78:$D$104</formula1>
    </dataValidation>
    <dataValidation type="list" allowBlank="1" showInputMessage="1" showErrorMessage="1" sqref="I51:I85 I87" xr:uid="{569D96B5-6297-45DD-B924-1404E03BA5AE}">
      <formula1>$I$49:$I$80</formula1>
    </dataValidation>
    <dataValidation type="list" allowBlank="1" showInputMessage="1" showErrorMessage="1" sqref="L51:L85 L87" xr:uid="{37E1CFC2-410B-43FE-9C2A-A0254135C650}">
      <formula1>$D$94:$D$120</formula1>
    </dataValidation>
    <dataValidation type="list" allowBlank="1" showInputMessage="1" showErrorMessage="1" sqref="J51:J85 J87" xr:uid="{BEBE8606-5D03-43A6-BA93-DEC839D0A77D}">
      <formula1>$D$86:$D$89</formula1>
    </dataValidation>
    <dataValidation type="list" allowBlank="1" showInputMessage="1" showErrorMessage="1" sqref="K87 K51:K85" xr:uid="{1B112280-E8FF-4DD2-B7FB-4003022E592D}">
      <formula1>$D$49:$D$54</formula1>
    </dataValidation>
    <dataValidation type="list" allowBlank="1" showInputMessage="1" showErrorMessage="1" sqref="I88:I105" xr:uid="{8E78B075-A2A6-41CE-B7CF-A531AFF55E8A}">
      <formula1>$I$31:$I$62</formula1>
    </dataValidation>
    <dataValidation type="list" allowBlank="1" showInputMessage="1" showErrorMessage="1" sqref="K88:K105" xr:uid="{B1E89965-23E0-4A83-8C0D-FA8576CE4979}">
      <formula1>$D$31:$D$36</formula1>
    </dataValidation>
    <dataValidation type="list" allowBlank="1" showInputMessage="1" showErrorMessage="1" sqref="J88:J105" xr:uid="{082184B2-05DE-40D1-8B55-5B073F57E73E}">
      <formula1>$D$68:$D$71</formula1>
    </dataValidation>
    <dataValidation type="list" allowBlank="1" showInputMessage="1" showErrorMessage="1" sqref="L92" xr:uid="{8307F428-5D78-4148-9E43-82625E8559FC}">
      <formula1>$D$94:$D$121</formula1>
    </dataValidation>
    <dataValidation type="list" allowBlank="1" showInputMessage="1" showErrorMessage="1" sqref="L93:L105 L88:L91" xr:uid="{9E9367A6-3C02-4F2A-A2E5-4C3D34AEE734}">
      <formula1>$D$76:$D$102</formula1>
    </dataValidation>
    <dataValidation type="list" allowBlank="1" showInputMessage="1" showErrorMessage="1" sqref="I106:I116" xr:uid="{332E570E-5F19-48C5-93FA-3450441FE433}">
      <formula1>$I$26:$I$57</formula1>
    </dataValidation>
    <dataValidation type="list" allowBlank="1" showInputMessage="1" showErrorMessage="1" sqref="J106:J116" xr:uid="{E424D028-1066-48C4-8268-7230E5F04904}">
      <formula1>$D$63:$D$66</formula1>
    </dataValidation>
    <dataValidation type="list" allowBlank="1" showInputMessage="1" showErrorMessage="1" sqref="K106:K116" xr:uid="{92A034EA-2B4A-4AC0-82A0-21F5CCC24FA3}">
      <formula1>$D$26:$D$31</formula1>
    </dataValidation>
    <dataValidation type="list" allowBlank="1" showInputMessage="1" showErrorMessage="1" sqref="L106:L116" xr:uid="{17CC1FBE-3052-4581-A666-DDBEB00048C6}">
      <formula1>$D$71:$D$98</formula1>
    </dataValidation>
    <dataValidation type="list" allowBlank="1" showInputMessage="1" showErrorMessage="1" sqref="I117:I129" xr:uid="{2AB8130E-DBF4-49EF-B747-631C20F4AF88}">
      <formula1>$I$32:$I$63</formula1>
    </dataValidation>
    <dataValidation type="list" allowBlank="1" showInputMessage="1" showErrorMessage="1" sqref="L117:L129" xr:uid="{2C967AE6-B154-4D3C-9146-513591065FB7}">
      <formula1>$D$77:$D$104</formula1>
    </dataValidation>
    <dataValidation type="list" allowBlank="1" showInputMessage="1" showErrorMessage="1" sqref="K117:K129" xr:uid="{B05DE242-CA53-4B05-A6D0-96C9D44F3BF4}">
      <formula1>$D$32:$D$37</formula1>
    </dataValidation>
    <dataValidation type="list" allowBlank="1" showInputMessage="1" showErrorMessage="1" sqref="J117:J129" xr:uid="{D08E79F5-B1A6-45AB-828F-71D74F6974F9}">
      <formula1>$D$69:$D$72</formula1>
    </dataValidation>
    <dataValidation type="list" allowBlank="1" showInputMessage="1" showErrorMessage="1" sqref="I130:I144 I148:I150" xr:uid="{47951B8B-60F5-4593-A323-4E10420045DD}">
      <formula1>$I$46:$I$77</formula1>
    </dataValidation>
    <dataValidation type="list" allowBlank="1" showInputMessage="1" showErrorMessage="1" sqref="I145:I147" xr:uid="{150E07A9-124A-4470-B8C4-936493F84B64}">
      <formula1>$I$21:$I$58</formula1>
    </dataValidation>
    <dataValidation type="list" allowBlank="1" showInputMessage="1" showErrorMessage="1" sqref="J130:J150" xr:uid="{F24C5570-D3F8-44DB-B530-63ED9700ABD8}">
      <formula1>$D$83:$D$86</formula1>
    </dataValidation>
    <dataValidation type="list" allowBlank="1" showInputMessage="1" showErrorMessage="1" sqref="K130:K150" xr:uid="{1C3F425C-2C3A-41C7-B52C-7710029B2353}">
      <formula1>$D$46:$D$51</formula1>
    </dataValidation>
    <dataValidation type="list" allowBlank="1" showInputMessage="1" showErrorMessage="1" sqref="L130:L150" xr:uid="{7B8DBABF-1FEB-453B-8B62-BA56102E9F6D}">
      <formula1>$D$91:$D$118</formula1>
    </dataValidation>
    <dataValidation type="list" allowBlank="1" showInputMessage="1" showErrorMessage="1" sqref="I151:I161 I168:I177" xr:uid="{A1C498E0-8808-41D2-A9F1-B0F0CD23E190}">
      <formula1>$I$36:$I$67</formula1>
    </dataValidation>
    <dataValidation type="list" allowBlank="1" showInputMessage="1" showErrorMessage="1" sqref="L151:L161 L168:L177" xr:uid="{7F627BDF-0905-4C13-83BE-AE4EF9F94914}">
      <formula1>$D$82:$D$109</formula1>
    </dataValidation>
    <dataValidation type="list" allowBlank="1" showInputMessage="1" showErrorMessage="1" sqref="K151:K161 K168:K177" xr:uid="{4622AC36-98E3-4BF6-BF1A-CB01E3DF8E2C}">
      <formula1>$D$36:$D$41</formula1>
    </dataValidation>
    <dataValidation type="list" allowBlank="1" showInputMessage="1" showErrorMessage="1" sqref="J151:J161 J168:J177" xr:uid="{B6FF2DB6-7C65-4031-B43E-6663B05FE6E5}">
      <formula1>$D$74:$D$77</formula1>
    </dataValidation>
    <dataValidation type="list" allowBlank="1" showInputMessage="1" showErrorMessage="1" sqref="J162:J167" xr:uid="{69B288BE-D847-4897-823D-8FCA18DC742E}">
      <formula1>$D$73:$D$76</formula1>
    </dataValidation>
    <dataValidation type="list" allowBlank="1" showInputMessage="1" showErrorMessage="1" sqref="L162:L167" xr:uid="{5AACC03F-EFD8-4FEB-A6CB-87ECD31E016C}">
      <formula1>$D$81:$D$108</formula1>
    </dataValidation>
    <dataValidation type="list" allowBlank="1" showInputMessage="1" showErrorMessage="1" sqref="I178:I257" xr:uid="{9DB88E3D-FB1A-4A30-A65B-0B255F9F15B9}">
      <formula1>$I$106:$I$137</formula1>
    </dataValidation>
    <dataValidation type="list" allowBlank="1" showInputMessage="1" showErrorMessage="1" sqref="J178:J257" xr:uid="{C4724E06-6222-4720-A32A-AE1619536508}">
      <formula1>$D$144:$D$147</formula1>
    </dataValidation>
    <dataValidation type="list" allowBlank="1" showInputMessage="1" showErrorMessage="1" sqref="K178:K257" xr:uid="{5978430D-8EF8-4DFD-B184-550A5E1F1AC2}">
      <formula1>$D$106:$D$111</formula1>
    </dataValidation>
    <dataValidation type="list" allowBlank="1" showInputMessage="1" showErrorMessage="1" sqref="L178:L257" xr:uid="{67FB5903-6BF3-4E8C-A9EB-F8936AAC487B}">
      <formula1>$D$152:$D$183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Vansa</dc:creator>
  <cp:lastModifiedBy>Vansa</cp:lastModifiedBy>
  <dcterms:created xsi:type="dcterms:W3CDTF">2026-04-01T06:13:56Z</dcterms:created>
  <dcterms:modified xsi:type="dcterms:W3CDTF">2026-04-01T06:20:30Z</dcterms:modified>
</cp:coreProperties>
</file>